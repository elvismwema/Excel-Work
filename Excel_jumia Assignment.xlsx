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mwema\Documents\Luxdev\"/>
    </mc:Choice>
  </mc:AlternateContent>
  <xr:revisionPtr revIDLastSave="0" documentId="8_{7BDDEC3D-F415-4105-A7F1-C56E8F85B714}" xr6:coauthVersionLast="47" xr6:coauthVersionMax="47" xr10:uidLastSave="{00000000-0000-0000-0000-000000000000}"/>
  <bookViews>
    <workbookView xWindow="-110" yWindow="-110" windowWidth="19420" windowHeight="11020" firstSheet="6" activeTab="10" xr2:uid="{B7CC3580-E03C-4D66-B4FA-66D06DB2CA87}"/>
  </bookViews>
  <sheets>
    <sheet name="Relation btwn Disc. &amp; reviews" sheetId="2" r:id="rId1"/>
    <sheet name="Rltion btwn rating &amp; review no." sheetId="3" r:id="rId2"/>
    <sheet name="Rating with Review" sheetId="5" r:id="rId3"/>
    <sheet name="Top 10 Discounts" sheetId="6" r:id="rId4"/>
    <sheet name="Product ct Rating Category" sheetId="12" r:id="rId5"/>
    <sheet name="Top 10 most reviews" sheetId="7" r:id="rId6"/>
    <sheet name="Sheet7" sheetId="8" r:id="rId7"/>
    <sheet name="Sheet8" sheetId="9" r:id="rId8"/>
    <sheet name="Product ct, Dsct Category" sheetId="13" r:id="rId9"/>
    <sheet name="Excel_jumia" sheetId="1" r:id="rId10"/>
    <sheet name="Excel_jumia Assignment" sheetId="11" r:id="rId11"/>
  </sheets>
  <definedNames>
    <definedName name="_xlnm._FilterDatabase" localSheetId="9" hidden="1">Excel_jumia!$H$1:$H$113</definedName>
    <definedName name="Slicer_Discount_Category">#N/A</definedName>
    <definedName name="Slicer_Product">#N/A</definedName>
    <definedName name="Slicer_Rating_Category">#N/A</definedName>
    <definedName name="Slicer_Ratings">#N/A</definedName>
    <definedName name="Slicer_Review">#N/A</definedName>
  </definedNames>
  <calcPr calcId="0"/>
  <pivotCaches>
    <pivotCache cacheId="26"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18" i="1" l="1"/>
  <c r="B117" i="1"/>
  <c r="H114" i="1"/>
  <c r="D114" i="1"/>
  <c r="C114" i="1"/>
  <c r="B114" i="1"/>
  <c r="E2" i="1" a="1"/>
  <c r="E2"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46" i="1" a="1"/>
  <c r="E46" i="1" s="1"/>
  <c r="E47" i="1" a="1"/>
  <c r="E47" i="1" s="1"/>
  <c r="E48" i="1" a="1"/>
  <c r="E48" i="1" s="1"/>
  <c r="E49" i="1" a="1"/>
  <c r="E49" i="1" s="1"/>
  <c r="E50" i="1" a="1"/>
  <c r="E50" i="1" s="1"/>
  <c r="E51" i="1" a="1"/>
  <c r="E51" i="1" s="1"/>
  <c r="E52" i="1" a="1"/>
  <c r="E52" i="1" s="1"/>
  <c r="E53" i="1" a="1"/>
  <c r="E53" i="1" s="1"/>
  <c r="E54" i="1" a="1"/>
  <c r="E54" i="1" s="1"/>
  <c r="E55" i="1" a="1"/>
  <c r="E55" i="1" s="1"/>
  <c r="E56" i="1" a="1"/>
  <c r="E56" i="1" s="1"/>
  <c r="E57" i="1" a="1"/>
  <c r="E57" i="1" s="1"/>
  <c r="E58" i="1" a="1"/>
  <c r="E58" i="1" s="1"/>
  <c r="E59" i="1" a="1"/>
  <c r="E59" i="1" s="1"/>
  <c r="E60" i="1" a="1"/>
  <c r="E60" i="1" s="1"/>
  <c r="E61" i="1" a="1"/>
  <c r="E61" i="1" s="1"/>
  <c r="E62" i="1" a="1"/>
  <c r="E62" i="1" s="1"/>
  <c r="E63" i="1" a="1"/>
  <c r="E63" i="1" s="1"/>
  <c r="E64" i="1" a="1"/>
  <c r="E64" i="1" s="1"/>
  <c r="E65" i="1" a="1"/>
  <c r="E65" i="1" s="1"/>
  <c r="E66" i="1" a="1"/>
  <c r="E66" i="1" s="1"/>
  <c r="E67" i="1" a="1"/>
  <c r="E67" i="1" s="1"/>
  <c r="E68" i="1" a="1"/>
  <c r="E68" i="1" s="1"/>
  <c r="E69" i="1" a="1"/>
  <c r="E69" i="1" s="1"/>
  <c r="E70" i="1" a="1"/>
  <c r="E70"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6" i="1" a="1"/>
  <c r="E86"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s="1"/>
  <c r="E99" i="1" a="1"/>
  <c r="E99" i="1" s="1"/>
  <c r="E100" i="1" a="1"/>
  <c r="E100" i="1" s="1"/>
  <c r="E101" i="1" a="1"/>
  <c r="E101" i="1" s="1"/>
  <c r="E102" i="1" a="1"/>
  <c r="E102" i="1" s="1"/>
  <c r="E103" i="1" a="1"/>
  <c r="E103" i="1" s="1"/>
  <c r="E104" i="1" a="1"/>
  <c r="E104" i="1" s="1"/>
  <c r="E105" i="1" a="1"/>
  <c r="E105" i="1" s="1"/>
  <c r="E106" i="1" a="1"/>
  <c r="E106" i="1" s="1"/>
  <c r="E107" i="1" a="1"/>
  <c r="E107" i="1" s="1"/>
  <c r="E108" i="1" a="1"/>
  <c r="E108" i="1" s="1"/>
  <c r="E109" i="1" a="1"/>
  <c r="E109" i="1" s="1"/>
  <c r="E110" i="1" a="1"/>
  <c r="E110" i="1" s="1"/>
  <c r="E111" i="1" a="1"/>
  <c r="E111" i="1" s="1"/>
  <c r="E112" i="1" a="1"/>
  <c r="E112" i="1" s="1"/>
  <c r="E113" i="1" a="1"/>
  <c r="E113"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2" i="1" a="1"/>
  <c r="I2" i="1"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2" i="1"/>
  <c r="E130" i="1" l="1"/>
  <c r="B130" i="1"/>
  <c r="C130" i="1"/>
  <c r="D130" i="1"/>
  <c r="D126" i="1"/>
  <c r="D122" i="1"/>
  <c r="B126" i="1"/>
  <c r="B122" i="1"/>
  <c r="C126" i="1"/>
  <c r="C12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<sst xmlns="http://schemas.openxmlformats.org/spreadsheetml/2006/main" count="356" uniqueCount="147">
  <si>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</si>
  <si>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</si>
  <si>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</si>
  <si>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</si>
  <si>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</si>
  <si>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</si>
  <si>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</si>
  <si>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</si>
  <si>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</si>
  <si>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</si>
  <si>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</si>
  <si>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</si>
  <si>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</si>
  <si>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</si>
  <si>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</si>
  <si>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</si>
  <si>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</si>
  <si>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</si>
  <si>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</si>
  <si>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</si>
  <si>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</si>
  <si>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</si>
  <si>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</si>
  <si>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</si>
  <si>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</si>
  <si>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</si>
  <si>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</si>
  <si>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</si>
  <si>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</si>
  <si>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</si>
  <si>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</si>
  <si>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</si>
  <si>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</si>
  <si>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</si>
  <si>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</si>
  <si>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</si>
  <si>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</si>
  <si>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</si>
  <si>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</si>
  <si>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</si>
  <si>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</si>
  <si>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</si>
  <si>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</si>
  <si>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</si>
  <si>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</si>
  <si>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</si>
  <si>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</si>
  <si>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</si>
  <si>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</si>
  <si>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</si>
  <si>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</si>
  <si>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</si>
  <si>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</si>
  <si>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</si>
  <si>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</si>
  <si>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</si>
  <si>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</si>
  <si>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</si>
  <si>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</si>
  <si>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</si>
  <si>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</si>
  <si>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</si>
  <si>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</si>
  <si>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</si>
  <si>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</si>
  <si>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</si>
  <si>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</si>
  <si>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</si>
  <si>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</si>
  <si>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</si>
  <si>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</si>
  <si>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</si>
  <si>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</si>
  <si>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</si>
  <si>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</si>
  <si>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</si>
  <si>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</si>
  <si>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</si>
  <si>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</si>
  <si>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</si>
  <si>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</si>
  <si>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</si>
  <si>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</si>
  <si>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</si>
  <si>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</si>
  <si>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</si>
  <si>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</si>
  <si>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</si>
  <si>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</si>
  <si>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</si>
  <si>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</si>
  <si>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</si>
  <si>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</si>
  <si>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</si>
  <si>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</si>
  <si>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</si>
  <si>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</si>
  <si>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</si>
  <si>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</si>
  <si>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</si>
  <si>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</si>
  <si>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</si>
  <si>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</si>
  <si>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</si>
  <si>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</si>
  <si>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</si>
  <si>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</si>
  <si>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</si>
  <si>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</si>
  <si>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</si>
  <si>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</si>
  <si>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</si>
  <si>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</si>
  <si>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</si>
  <si>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Ratings</t>
  </si>
  <si>
    <t>Not Provided</t>
  </si>
  <si>
    <t>N/A</t>
  </si>
  <si>
    <t>Discount Amount</t>
  </si>
  <si>
    <t>Rating Category</t>
  </si>
  <si>
    <t>Discount Category</t>
  </si>
  <si>
    <t>Medium</t>
  </si>
  <si>
    <t>AVERAGES</t>
  </si>
  <si>
    <t>Most exp. Product.</t>
  </si>
  <si>
    <t>Least exp. Product</t>
  </si>
  <si>
    <t>High</t>
  </si>
  <si>
    <t>Low</t>
  </si>
  <si>
    <t>Average Discount per Discount Category:</t>
  </si>
  <si>
    <t>Average Rating Per Discount Categoru:</t>
  </si>
  <si>
    <t>Product Distribution Across Various Rating Category</t>
  </si>
  <si>
    <t>Excellent</t>
  </si>
  <si>
    <t>Average</t>
  </si>
  <si>
    <t>Poor</t>
  </si>
  <si>
    <t>Row Labels</t>
  </si>
  <si>
    <t>Grand Total</t>
  </si>
  <si>
    <t>Count of Review</t>
  </si>
  <si>
    <t>0-0.1</t>
  </si>
  <si>
    <t>0.1-0.2</t>
  </si>
  <si>
    <t>0.2-0.3</t>
  </si>
  <si>
    <t>0.3-0.4</t>
  </si>
  <si>
    <t>0.4-0.5</t>
  </si>
  <si>
    <t>0.5-0.6</t>
  </si>
  <si>
    <t>Discount %</t>
  </si>
  <si>
    <t>No. of Reviews</t>
  </si>
  <si>
    <t>Product of Discount</t>
  </si>
  <si>
    <t>Product of Review</t>
  </si>
  <si>
    <t>Product of Ratings</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</si>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</sst>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wrapText="1"/>
    </xf>
    <xf numFmtId="9" fontId="0" fillId="0" borderId="0" xfId="0" applyNumberFormat="1" applyAlignment="1">
      <alignment wrapText="1"/>
    </xf>
    <xf numFmtId="0" fontId="18" fillId="0" borderId="0" xfId="0" applyFont="1" applyAlignment="1">
      <alignment wrapText="1"/>
    </xf>
    <xf numFmtId="0" fontId="18" fillId="0" borderId="0" xfId="0" applyFont="1"/>
    <xf numFmtId="3" fontId="0" fillId="0" borderId="0" xfId="0" applyNumberFormat="1" applyAlignment="1">
      <alignment wrapText="1"/>
    </xf>
    <xf numFmtId="1" fontId="18" fillId="0" borderId="0" xfId="0" applyNumberFormat="1" applyFont="1" applyAlignment="1">
      <alignment wrapText="1"/>
    </xf>
    <xf numFmtId="1" fontId="0" fillId="0" borderId="0" xfId="0" applyNumberFormat="1" applyAlignment="1">
      <alignment wrapText="1"/>
    </xf>
    <xf numFmtId="1" fontId="0" fillId="0" borderId="0" xfId="0" applyNumberFormat="1"/>
    <xf numFmtId="2" fontId="18" fillId="0" borderId="0" xfId="0" applyNumberFormat="1" applyFont="1" applyAlignment="1">
      <alignment wrapText="1"/>
    </xf>
    <xf numFmtId="2" fontId="0" fillId="0" borderId="0" xfId="0" applyNumberFormat="1" applyAlignment="1">
      <alignment wrapText="1"/>
    </xf>
    <xf numFmtId="2" fontId="0" fillId="0" borderId="0" xfId="0" applyNumberFormat="1"/>
    <xf numFmtId="0" fontId="16" fillId="0" borderId="0" xfId="0" applyFont="1"/>
    <xf numFmtId="2" fontId="16" fillId="0" borderId="0" xfId="0" applyNumberFormat="1"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3" formatCode="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Assignment.xlsx]Relation btwn Disc. &amp; reviews!PivotTable1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 btwn Disc. &amp; reviews'!$B$3</c:f>
              <c:strCache>
                <c:ptCount val="1"/>
                <c:pt idx="0">
                  <c:v>Total</c:v>
                </c:pt>
              </c:strCache>
            </c:strRef>
          </c:tx>
          <c:spPr>
            <a:solidFill>
              <a:schemeClr val="accent1"/>
            </a:solidFill>
            <a:ln>
              <a:noFill/>
            </a:ln>
            <a:effectLst/>
          </c:spPr>
          <c:invertIfNegative val="0"/>
          <c:cat>
            <c:strRef>
              <c:f>'Relation btwn Disc. &amp; reviews'!$A$4:$A$10</c:f>
              <c:strCache>
                <c:ptCount val="6"/>
                <c:pt idx="0">
                  <c:v>0-0.1</c:v>
                </c:pt>
                <c:pt idx="1">
                  <c:v>0.1-0.2</c:v>
                </c:pt>
                <c:pt idx="2">
                  <c:v>0.2-0.3</c:v>
                </c:pt>
                <c:pt idx="3">
                  <c:v>0.3-0.4</c:v>
                </c:pt>
                <c:pt idx="4">
                  <c:v>0.4-0.5</c:v>
                </c:pt>
                <c:pt idx="5">
                  <c:v>0.5-0.6</c:v>
                </c:pt>
              </c:strCache>
            </c:strRef>
          </c:cat>
          <c:val>
            <c:numRef>
              <c:f>'Relation btwn Disc. &amp; reviews'!$B$4:$B$10</c:f>
              <c:numCache>
                <c:formatCode>General</c:formatCode>
                <c:ptCount val="6"/>
                <c:pt idx="0">
                  <c:v>1</c:v>
                </c:pt>
                <c:pt idx="1">
                  <c:v>3</c:v>
                </c:pt>
                <c:pt idx="2">
                  <c:v>10</c:v>
                </c:pt>
                <c:pt idx="3">
                  <c:v>12</c:v>
                </c:pt>
                <c:pt idx="4">
                  <c:v>20</c:v>
                </c:pt>
                <c:pt idx="5">
                  <c:v>11</c:v>
                </c:pt>
              </c:numCache>
            </c:numRef>
          </c:val>
          <c:extLst>
            <c:ext xmlns:c16="http://schemas.microsoft.com/office/drawing/2014/chart" uri="{C3380CC4-5D6E-409C-BE32-E72D297353CC}">
              <c16:uniqueId val="{00000000-6086-4D29-90E1-A5214F7E6CDB}"/>
            </c:ext>
          </c:extLst>
        </c:ser>
        <c:dLbls>
          <c:showLegendKey val="0"/>
          <c:showVal val="0"/>
          <c:showCatName val="0"/>
          <c:showSerName val="0"/>
          <c:showPercent val="0"/>
          <c:showBubbleSize val="0"/>
        </c:dLbls>
        <c:gapWidth val="219"/>
        <c:overlap val="-27"/>
        <c:axId val="1286141039"/>
        <c:axId val="1286141519"/>
      </c:barChart>
      <c:catAx>
        <c:axId val="128614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41519"/>
        <c:crosses val="autoZero"/>
        <c:auto val="1"/>
        <c:lblAlgn val="ctr"/>
        <c:lblOffset val="100"/>
        <c:noMultiLvlLbl val="0"/>
      </c:catAx>
      <c:valAx>
        <c:axId val="128614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4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Assignment.xlsx]Rltion btwn rating &amp; review no.!PivotTable2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with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'Rltion btwn rating &amp; review no.'!$B$3</c:f>
              <c:strCache>
                <c:ptCount val="1"/>
                <c:pt idx="0">
                  <c:v>Total</c:v>
                </c:pt>
              </c:strCache>
            </c:strRef>
          </c:tx>
          <c:spPr>
            <a:ln w="28575" cap="rnd">
              <a:solidFill>
                <a:schemeClr val="accent1"/>
              </a:solidFill>
              <a:round/>
            </a:ln>
            <a:effectLst/>
          </c:spPr>
          <c:marker>
            <c:symbol val="none"/>
          </c:marker>
          <c:cat>
            <c:strRef>
              <c:f>'Rltion btwn rating &amp; review no.'!$A$4:$A$26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'Rltion btwn rating &amp; review no.'!$B$4:$B$26</c:f>
              <c:numCache>
                <c:formatCode>General</c:formatCode>
                <c:ptCount val="22"/>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numCache>
            </c:numRef>
          </c:val>
          <c:smooth val="0"/>
          <c:extLst>
            <c:ext xmlns:c16="http://schemas.microsoft.com/office/drawing/2014/chart" uri="{C3380CC4-5D6E-409C-BE32-E72D297353CC}">
              <c16:uniqueId val="{00000000-5A5E-4B75-92F2-0FA2D59AB9A1}"/>
            </c:ext>
          </c:extLst>
        </c:ser>
        <c:dLbls>
          <c:showLegendKey val="0"/>
          <c:showVal val="0"/>
          <c:showCatName val="0"/>
          <c:showSerName val="0"/>
          <c:showPercent val="0"/>
          <c:showBubbleSize val="0"/>
        </c:dLbls>
        <c:smooth val="0"/>
        <c:axId val="1005102991"/>
        <c:axId val="1005103951"/>
      </c:lineChart>
      <c:catAx>
        <c:axId val="1005102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103951"/>
        <c:crosses val="autoZero"/>
        <c:auto val="1"/>
        <c:lblAlgn val="ctr"/>
        <c:lblOffset val="100"/>
        <c:noMultiLvlLbl val="0"/>
      </c:catAx>
      <c:valAx>
        <c:axId val="1005103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10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Assignment.xlsx]Rating with Review!PivotTable4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with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with Review'!$B$3</c:f>
              <c:strCache>
                <c:ptCount val="1"/>
                <c:pt idx="0">
                  <c:v>Total</c:v>
                </c:pt>
              </c:strCache>
            </c:strRef>
          </c:tx>
          <c:spPr>
            <a:ln w="28575" cap="rnd">
              <a:solidFill>
                <a:schemeClr val="accent1"/>
              </a:solidFill>
              <a:round/>
            </a:ln>
            <a:effectLst/>
          </c:spPr>
          <c:marker>
            <c:symbol val="none"/>
          </c:marker>
          <c:cat>
            <c:strRef>
              <c:f>'Rating with Review'!$A$4:$A$26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with Review'!$B$4:$B$26</c:f>
              <c:numCache>
                <c:formatCode>General</c:formatCode>
                <c:ptCount val="22"/>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numCache>
            </c:numRef>
          </c:val>
          <c:smooth val="0"/>
          <c:extLst>
            <c:ext xmlns:c16="http://schemas.microsoft.com/office/drawing/2014/chart" uri="{C3380CC4-5D6E-409C-BE32-E72D297353CC}">
              <c16:uniqueId val="{00000000-010C-4407-B5ED-45A5B08B196A}"/>
            </c:ext>
          </c:extLst>
        </c:ser>
        <c:dLbls>
          <c:showLegendKey val="0"/>
          <c:showVal val="0"/>
          <c:showCatName val="0"/>
          <c:showSerName val="0"/>
          <c:showPercent val="0"/>
          <c:showBubbleSize val="0"/>
        </c:dLbls>
        <c:smooth val="0"/>
        <c:axId val="738938047"/>
        <c:axId val="742147119"/>
      </c:lineChart>
      <c:catAx>
        <c:axId val="7389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147119"/>
        <c:crosses val="autoZero"/>
        <c:auto val="1"/>
        <c:lblAlgn val="ctr"/>
        <c:lblOffset val="100"/>
        <c:noMultiLvlLbl val="0"/>
      </c:catAx>
      <c:valAx>
        <c:axId val="74214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3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Assignment.xlsx]Product ct Rating Category!PivotTable13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ct / Rating</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ct Rating Category'!$B$3</c:f>
              <c:strCache>
                <c:ptCount val="1"/>
                <c:pt idx="0">
                  <c:v>Total</c:v>
                </c:pt>
              </c:strCache>
            </c:strRef>
          </c:tx>
          <c:spPr>
            <a:solidFill>
              <a:schemeClr val="accent1"/>
            </a:solidFill>
            <a:ln>
              <a:noFill/>
            </a:ln>
            <a:effectLst/>
          </c:spPr>
          <c:invertIfNegative val="0"/>
          <c:cat>
            <c:strRef>
              <c:f>'Product ct Rating Category'!$A$4:$A$7</c:f>
              <c:strCache>
                <c:ptCount val="3"/>
                <c:pt idx="0">
                  <c:v>Average</c:v>
                </c:pt>
                <c:pt idx="1">
                  <c:v>Excellent</c:v>
                </c:pt>
                <c:pt idx="2">
                  <c:v>Poor</c:v>
                </c:pt>
              </c:strCache>
            </c:strRef>
          </c:cat>
          <c:val>
            <c:numRef>
              <c:f>'Product ct Rating Category'!$B$4:$B$7</c:f>
              <c:numCache>
                <c:formatCode>General</c:formatCode>
                <c:ptCount val="3"/>
                <c:pt idx="0">
                  <c:v>22</c:v>
                </c:pt>
                <c:pt idx="1">
                  <c:v>23</c:v>
                </c:pt>
                <c:pt idx="2">
                  <c:v>12</c:v>
                </c:pt>
              </c:numCache>
            </c:numRef>
          </c:val>
          <c:extLst>
            <c:ext xmlns:c16="http://schemas.microsoft.com/office/drawing/2014/chart" uri="{C3380CC4-5D6E-409C-BE32-E72D297353CC}">
              <c16:uniqueId val="{00000000-2968-4D65-976C-D9D4E35D3E4B}"/>
            </c:ext>
          </c:extLst>
        </c:ser>
        <c:dLbls>
          <c:showLegendKey val="0"/>
          <c:showVal val="0"/>
          <c:showCatName val="0"/>
          <c:showSerName val="0"/>
          <c:showPercent val="0"/>
          <c:showBubbleSize val="0"/>
        </c:dLbls>
        <c:gapWidth val="219"/>
        <c:overlap val="-27"/>
        <c:axId val="1286163119"/>
        <c:axId val="1286163599"/>
      </c:barChart>
      <c:catAx>
        <c:axId val="128616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63599"/>
        <c:crosses val="autoZero"/>
        <c:auto val="1"/>
        <c:lblAlgn val="ctr"/>
        <c:lblOffset val="100"/>
        <c:noMultiLvlLbl val="0"/>
      </c:catAx>
      <c:valAx>
        <c:axId val="128616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6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Assignment.xlsx]Product ct, Dsct Category!PivotTable14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ct, Dsct Category'!$B$3</c:f>
              <c:strCache>
                <c:ptCount val="1"/>
                <c:pt idx="0">
                  <c:v>Total</c:v>
                </c:pt>
              </c:strCache>
            </c:strRef>
          </c:tx>
          <c:spPr>
            <a:solidFill>
              <a:schemeClr val="accent1"/>
            </a:solidFill>
            <a:ln>
              <a:noFill/>
            </a:ln>
            <a:effectLst/>
          </c:spPr>
          <c:invertIfNegative val="0"/>
          <c:cat>
            <c:strRef>
              <c:f>'Product ct, Dsct Category'!$A$4:$A$7</c:f>
              <c:strCache>
                <c:ptCount val="3"/>
                <c:pt idx="0">
                  <c:v>High</c:v>
                </c:pt>
                <c:pt idx="1">
                  <c:v>Low</c:v>
                </c:pt>
                <c:pt idx="2">
                  <c:v>Medium</c:v>
                </c:pt>
              </c:strCache>
            </c:strRef>
          </c:cat>
          <c:val>
            <c:numRef>
              <c:f>'Product ct, Dsct Category'!$B$4:$B$7</c:f>
              <c:numCache>
                <c:formatCode>General</c:formatCode>
                <c:ptCount val="3"/>
                <c:pt idx="0">
                  <c:v>30</c:v>
                </c:pt>
                <c:pt idx="1">
                  <c:v>4</c:v>
                </c:pt>
                <c:pt idx="2">
                  <c:v>23</c:v>
                </c:pt>
              </c:numCache>
            </c:numRef>
          </c:val>
          <c:extLst>
            <c:ext xmlns:c16="http://schemas.microsoft.com/office/drawing/2014/chart" uri="{C3380CC4-5D6E-409C-BE32-E72D297353CC}">
              <c16:uniqueId val="{00000000-DD03-4143-BD74-0377F8644517}"/>
            </c:ext>
          </c:extLst>
        </c:ser>
        <c:dLbls>
          <c:showLegendKey val="0"/>
          <c:showVal val="0"/>
          <c:showCatName val="0"/>
          <c:showSerName val="0"/>
          <c:showPercent val="0"/>
          <c:showBubbleSize val="0"/>
        </c:dLbls>
        <c:gapWidth val="219"/>
        <c:overlap val="-27"/>
        <c:axId val="738926047"/>
        <c:axId val="738936127"/>
      </c:barChart>
      <c:catAx>
        <c:axId val="73892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36127"/>
        <c:crosses val="autoZero"/>
        <c:auto val="1"/>
        <c:lblAlgn val="ctr"/>
        <c:lblOffset val="100"/>
        <c:noMultiLvlLbl val="0"/>
      </c:catAx>
      <c:valAx>
        <c:axId val="73893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2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Assignment.xlsx]Relation btwn Disc. &amp; reviews!PivotTable1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a:t>
            </a:r>
            <a:r>
              <a:rPr lang="en-US" baseline="0"/>
              <a:t> % vs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 btwn Disc. &amp; reviews'!$B$3</c:f>
              <c:strCache>
                <c:ptCount val="1"/>
                <c:pt idx="0">
                  <c:v>Total</c:v>
                </c:pt>
              </c:strCache>
            </c:strRef>
          </c:tx>
          <c:spPr>
            <a:solidFill>
              <a:schemeClr val="accent1"/>
            </a:solidFill>
            <a:ln>
              <a:noFill/>
            </a:ln>
            <a:effectLst/>
          </c:spPr>
          <c:invertIfNegative val="0"/>
          <c:cat>
            <c:strRef>
              <c:f>'Relation btwn Disc. &amp; reviews'!$A$4:$A$10</c:f>
              <c:strCache>
                <c:ptCount val="6"/>
                <c:pt idx="0">
                  <c:v>0-0.1</c:v>
                </c:pt>
                <c:pt idx="1">
                  <c:v>0.1-0.2</c:v>
                </c:pt>
                <c:pt idx="2">
                  <c:v>0.2-0.3</c:v>
                </c:pt>
                <c:pt idx="3">
                  <c:v>0.3-0.4</c:v>
                </c:pt>
                <c:pt idx="4">
                  <c:v>0.4-0.5</c:v>
                </c:pt>
                <c:pt idx="5">
                  <c:v>0.5-0.6</c:v>
                </c:pt>
              </c:strCache>
            </c:strRef>
          </c:cat>
          <c:val>
            <c:numRef>
              <c:f>'Relation btwn Disc. &amp; reviews'!$B$4:$B$10</c:f>
              <c:numCache>
                <c:formatCode>General</c:formatCode>
                <c:ptCount val="6"/>
                <c:pt idx="0">
                  <c:v>1</c:v>
                </c:pt>
                <c:pt idx="1">
                  <c:v>3</c:v>
                </c:pt>
                <c:pt idx="2">
                  <c:v>10</c:v>
                </c:pt>
                <c:pt idx="3">
                  <c:v>12</c:v>
                </c:pt>
                <c:pt idx="4">
                  <c:v>20</c:v>
                </c:pt>
                <c:pt idx="5">
                  <c:v>11</c:v>
                </c:pt>
              </c:numCache>
            </c:numRef>
          </c:val>
          <c:extLst>
            <c:ext xmlns:c16="http://schemas.microsoft.com/office/drawing/2014/chart" uri="{C3380CC4-5D6E-409C-BE32-E72D297353CC}">
              <c16:uniqueId val="{00000000-03E2-4B49-8E32-EEBEDD8194AA}"/>
            </c:ext>
          </c:extLst>
        </c:ser>
        <c:dLbls>
          <c:showLegendKey val="0"/>
          <c:showVal val="0"/>
          <c:showCatName val="0"/>
          <c:showSerName val="0"/>
          <c:showPercent val="0"/>
          <c:showBubbleSize val="0"/>
        </c:dLbls>
        <c:gapWidth val="219"/>
        <c:overlap val="-27"/>
        <c:axId val="1286141039"/>
        <c:axId val="1286141519"/>
      </c:barChart>
      <c:catAx>
        <c:axId val="128614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41519"/>
        <c:crosses val="autoZero"/>
        <c:auto val="1"/>
        <c:lblAlgn val="ctr"/>
        <c:lblOffset val="100"/>
        <c:noMultiLvlLbl val="0"/>
      </c:catAx>
      <c:valAx>
        <c:axId val="128614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4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Assignment.xlsx]Rating with Review!PivotTable4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with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with Review'!$B$3</c:f>
              <c:strCache>
                <c:ptCount val="1"/>
                <c:pt idx="0">
                  <c:v>Total</c:v>
                </c:pt>
              </c:strCache>
            </c:strRef>
          </c:tx>
          <c:spPr>
            <a:ln w="28575" cap="rnd">
              <a:solidFill>
                <a:schemeClr val="accent1"/>
              </a:solidFill>
              <a:round/>
            </a:ln>
            <a:effectLst/>
          </c:spPr>
          <c:marker>
            <c:symbol val="none"/>
          </c:marker>
          <c:cat>
            <c:strRef>
              <c:f>'Rating with Review'!$A$4:$A$26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with Review'!$B$4:$B$26</c:f>
              <c:numCache>
                <c:formatCode>General</c:formatCode>
                <c:ptCount val="22"/>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numCache>
            </c:numRef>
          </c:val>
          <c:smooth val="0"/>
          <c:extLst>
            <c:ext xmlns:c16="http://schemas.microsoft.com/office/drawing/2014/chart" uri="{C3380CC4-5D6E-409C-BE32-E72D297353CC}">
              <c16:uniqueId val="{00000000-4A6C-4A35-AD44-EE1F444F0C87}"/>
            </c:ext>
          </c:extLst>
        </c:ser>
        <c:dLbls>
          <c:showLegendKey val="0"/>
          <c:showVal val="0"/>
          <c:showCatName val="0"/>
          <c:showSerName val="0"/>
          <c:showPercent val="0"/>
          <c:showBubbleSize val="0"/>
        </c:dLbls>
        <c:smooth val="0"/>
        <c:axId val="738938047"/>
        <c:axId val="742147119"/>
      </c:lineChart>
      <c:catAx>
        <c:axId val="7389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147119"/>
        <c:crosses val="autoZero"/>
        <c:auto val="1"/>
        <c:lblAlgn val="ctr"/>
        <c:lblOffset val="100"/>
        <c:noMultiLvlLbl val="0"/>
      </c:catAx>
      <c:valAx>
        <c:axId val="74214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3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Assignment.xlsx]Product ct Rating Category!PivotTable13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ct / Rating</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ct Rating Category'!$B$3</c:f>
              <c:strCache>
                <c:ptCount val="1"/>
                <c:pt idx="0">
                  <c:v>Total</c:v>
                </c:pt>
              </c:strCache>
            </c:strRef>
          </c:tx>
          <c:spPr>
            <a:solidFill>
              <a:schemeClr val="accent1"/>
            </a:solidFill>
            <a:ln>
              <a:noFill/>
            </a:ln>
            <a:effectLst/>
          </c:spPr>
          <c:invertIfNegative val="0"/>
          <c:cat>
            <c:strRef>
              <c:f>'Product ct Rating Category'!$A$4:$A$7</c:f>
              <c:strCache>
                <c:ptCount val="3"/>
                <c:pt idx="0">
                  <c:v>Average</c:v>
                </c:pt>
                <c:pt idx="1">
                  <c:v>Excellent</c:v>
                </c:pt>
                <c:pt idx="2">
                  <c:v>Poor</c:v>
                </c:pt>
              </c:strCache>
            </c:strRef>
          </c:cat>
          <c:val>
            <c:numRef>
              <c:f>'Product ct Rating Category'!$B$4:$B$7</c:f>
              <c:numCache>
                <c:formatCode>General</c:formatCode>
                <c:ptCount val="3"/>
                <c:pt idx="0">
                  <c:v>22</c:v>
                </c:pt>
                <c:pt idx="1">
                  <c:v>23</c:v>
                </c:pt>
                <c:pt idx="2">
                  <c:v>12</c:v>
                </c:pt>
              </c:numCache>
            </c:numRef>
          </c:val>
          <c:extLst>
            <c:ext xmlns:c16="http://schemas.microsoft.com/office/drawing/2014/chart" uri="{C3380CC4-5D6E-409C-BE32-E72D297353CC}">
              <c16:uniqueId val="{00000000-6CBB-4D77-9C83-1F88F6982E47}"/>
            </c:ext>
          </c:extLst>
        </c:ser>
        <c:dLbls>
          <c:showLegendKey val="0"/>
          <c:showVal val="0"/>
          <c:showCatName val="0"/>
          <c:showSerName val="0"/>
          <c:showPercent val="0"/>
          <c:showBubbleSize val="0"/>
        </c:dLbls>
        <c:gapWidth val="219"/>
        <c:overlap val="-27"/>
        <c:axId val="1286163119"/>
        <c:axId val="1286163599"/>
      </c:barChart>
      <c:catAx>
        <c:axId val="128616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63599"/>
        <c:crosses val="autoZero"/>
        <c:auto val="1"/>
        <c:lblAlgn val="ctr"/>
        <c:lblOffset val="100"/>
        <c:noMultiLvlLbl val="0"/>
      </c:catAx>
      <c:valAx>
        <c:axId val="128616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6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Assignment.xlsx]Product ct, Dsct Category!PivotTable14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ct, Dsct Category'!$B$3</c:f>
              <c:strCache>
                <c:ptCount val="1"/>
                <c:pt idx="0">
                  <c:v>Total</c:v>
                </c:pt>
              </c:strCache>
            </c:strRef>
          </c:tx>
          <c:spPr>
            <a:solidFill>
              <a:schemeClr val="accent1"/>
            </a:solidFill>
            <a:ln>
              <a:noFill/>
            </a:ln>
            <a:effectLst/>
          </c:spPr>
          <c:invertIfNegative val="0"/>
          <c:cat>
            <c:strRef>
              <c:f>'Product ct, Dsct Category'!$A$4:$A$7</c:f>
              <c:strCache>
                <c:ptCount val="3"/>
                <c:pt idx="0">
                  <c:v>High</c:v>
                </c:pt>
                <c:pt idx="1">
                  <c:v>Low</c:v>
                </c:pt>
                <c:pt idx="2">
                  <c:v>Medium</c:v>
                </c:pt>
              </c:strCache>
            </c:strRef>
          </c:cat>
          <c:val>
            <c:numRef>
              <c:f>'Product ct, Dsct Category'!$B$4:$B$7</c:f>
              <c:numCache>
                <c:formatCode>General</c:formatCode>
                <c:ptCount val="3"/>
                <c:pt idx="0">
                  <c:v>30</c:v>
                </c:pt>
                <c:pt idx="1">
                  <c:v>4</c:v>
                </c:pt>
                <c:pt idx="2">
                  <c:v>23</c:v>
                </c:pt>
              </c:numCache>
            </c:numRef>
          </c:val>
          <c:extLst>
            <c:ext xmlns:c16="http://schemas.microsoft.com/office/drawing/2014/chart" uri="{C3380CC4-5D6E-409C-BE32-E72D297353CC}">
              <c16:uniqueId val="{00000000-E5D9-4181-9223-47FE0BBF414D}"/>
            </c:ext>
          </c:extLst>
        </c:ser>
        <c:dLbls>
          <c:showLegendKey val="0"/>
          <c:showVal val="0"/>
          <c:showCatName val="0"/>
          <c:showSerName val="0"/>
          <c:showPercent val="0"/>
          <c:showBubbleSize val="0"/>
        </c:dLbls>
        <c:gapWidth val="219"/>
        <c:overlap val="-27"/>
        <c:axId val="738926047"/>
        <c:axId val="738936127"/>
      </c:barChart>
      <c:catAx>
        <c:axId val="73892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36127"/>
        <c:crosses val="autoZero"/>
        <c:auto val="1"/>
        <c:lblAlgn val="ctr"/>
        <c:lblOffset val="100"/>
        <c:noMultiLvlLbl val="0"/>
      </c:catAx>
      <c:valAx>
        <c:axId val="73893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2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854075</xdr:colOff>
      <xdr:row>11</xdr:row>
      <xdr:rowOff>41275</xdr:rowOff>
    </xdr:from>
    <xdr:to>
      <xdr:col>8</xdr:col>
      <xdr:colOff>311150</xdr:colOff>
      <xdr:row>23</xdr:row>
      <xdr:rowOff>88900</xdr:rowOff>
    </xdr:to>
    <xdr:graphicFrame macro="">
      <xdr:nvGraphicFramePr>
        <xdr:cNvPr id="2" name="Chart 1">
          <a:extLst>
            <a:ext uri="{FF2B5EF4-FFF2-40B4-BE49-F238E27FC236}">
              <a16:creationId xmlns:a16="http://schemas.microsoft.com/office/drawing/2014/main" id="{12EC476F-A194-2F16-181A-8B97CB849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482600</xdr:colOff>
      <xdr:row>2</xdr:row>
      <xdr:rowOff>69850</xdr:rowOff>
    </xdr:from>
    <xdr:to>
      <xdr:col>11</xdr:col>
      <xdr:colOff>482600</xdr:colOff>
      <xdr:row>16</xdr:row>
      <xdr:rowOff>111122</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D00F4D0A-B09D-20B6-D177-4F9D2835B33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924550" y="438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17</xdr:row>
      <xdr:rowOff>114300</xdr:rowOff>
    </xdr:from>
    <xdr:to>
      <xdr:col>14</xdr:col>
      <xdr:colOff>425450</xdr:colOff>
      <xdr:row>24</xdr:row>
      <xdr:rowOff>101600</xdr:rowOff>
    </xdr:to>
    <mc:AlternateContent xmlns:mc="http://schemas.openxmlformats.org/markup-compatibility/2006">
      <mc:Choice xmlns:a14="http://schemas.microsoft.com/office/drawing/2010/main" Requires="a14">
        <xdr:graphicFrame macro="">
          <xdr:nvGraphicFramePr>
            <xdr:cNvPr id="4" name="Discount Category">
              <a:extLst>
                <a:ext uri="{FF2B5EF4-FFF2-40B4-BE49-F238E27FC236}">
                  <a16:creationId xmlns:a16="http://schemas.microsoft.com/office/drawing/2014/main" id="{AAE39C68-4703-009A-BC11-DE4DCC6B3658}"/>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7766050" y="3244850"/>
              <a:ext cx="175895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114300</xdr:colOff>
      <xdr:row>11</xdr:row>
      <xdr:rowOff>177800</xdr:rowOff>
    </xdr:from>
    <xdr:to>
      <xdr:col>18</xdr:col>
      <xdr:colOff>114300</xdr:colOff>
      <xdr:row>26</xdr:row>
      <xdr:rowOff>34922</xdr:rowOff>
    </xdr:to>
    <mc:AlternateContent xmlns:mc="http://schemas.openxmlformats.org/markup-compatibility/2006">
      <mc:Choice xmlns:a14="http://schemas.microsoft.com/office/drawing/2010/main" Requires="a14">
        <xdr:graphicFrame macro="">
          <xdr:nvGraphicFramePr>
            <xdr:cNvPr id="5" name="Review">
              <a:extLst>
                <a:ext uri="{FF2B5EF4-FFF2-40B4-BE49-F238E27FC236}">
                  <a16:creationId xmlns:a16="http://schemas.microsoft.com/office/drawing/2014/main" id="{3039B30D-DF30-BB09-D9A2-A3B3108CAFF1}"/>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dr:sp macro="" textlink="">
          <xdr:nvSpPr>
            <xdr:cNvPr id="0" name=""/>
            <xdr:cNvSpPr>
              <a:spLocks noTextEdit="1"/>
            </xdr:cNvSpPr>
          </xdr:nvSpPr>
          <xdr:spPr>
            <a:xfrm>
              <a:off x="9823450" y="22034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596900</xdr:colOff>
      <xdr:row>2</xdr:row>
      <xdr:rowOff>38100</xdr:rowOff>
    </xdr:from>
    <xdr:to>
      <xdr:col>14</xdr:col>
      <xdr:colOff>596900</xdr:colOff>
      <xdr:row>16</xdr:row>
      <xdr:rowOff>79372</xdr:rowOff>
    </xdr:to>
    <mc:AlternateContent xmlns:mc="http://schemas.openxmlformats.org/markup-compatibility/2006">
      <mc:Choice xmlns:a14="http://schemas.microsoft.com/office/drawing/2010/main" Requires="a14">
        <xdr:graphicFrame macro="">
          <xdr:nvGraphicFramePr>
            <xdr:cNvPr id="6" name="Ratings">
              <a:extLst>
                <a:ext uri="{FF2B5EF4-FFF2-40B4-BE49-F238E27FC236}">
                  <a16:creationId xmlns:a16="http://schemas.microsoft.com/office/drawing/2014/main" id="{623B72D2-E5E1-2F5F-0260-88DA581D6CEF}"/>
                </a:ext>
              </a:extLst>
            </xdr:cNvPr>
            <xdr:cNvGraphicFramePr/>
          </xdr:nvGraphicFramePr>
          <xdr:xfrm>
            <a:off x="0" y="0"/>
            <a:ext cx="0" cy="0"/>
          </xdr:xfrm>
          <a:graphic>
            <a:graphicData uri="http://schemas.microsoft.com/office/drawing/2010/slicer">
              <sle:slicer xmlns:sle="http://schemas.microsoft.com/office/drawing/2010/slicer" name="Ratings"/>
            </a:graphicData>
          </a:graphic>
        </xdr:graphicFrame>
      </mc:Choice>
      <mc:Fallback>
        <xdr:sp macro="" textlink="">
          <xdr:nvSpPr>
            <xdr:cNvPr id="0" name=""/>
            <xdr:cNvSpPr>
              <a:spLocks noTextEdit="1"/>
            </xdr:cNvSpPr>
          </xdr:nvSpPr>
          <xdr:spPr>
            <a:xfrm>
              <a:off x="7867650" y="406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2</xdr:row>
      <xdr:rowOff>57150</xdr:rowOff>
    </xdr:from>
    <xdr:to>
      <xdr:col>18</xdr:col>
      <xdr:colOff>57150</xdr:colOff>
      <xdr:row>10</xdr:row>
      <xdr:rowOff>133350</xdr:rowOff>
    </xdr:to>
    <mc:AlternateContent xmlns:mc="http://schemas.openxmlformats.org/markup-compatibility/2006">
      <mc:Choice xmlns:a14="http://schemas.microsoft.com/office/drawing/2010/main" Requires="a14">
        <xdr:graphicFrame macro="">
          <xdr:nvGraphicFramePr>
            <xdr:cNvPr id="7" name="Rating Category">
              <a:extLst>
                <a:ext uri="{FF2B5EF4-FFF2-40B4-BE49-F238E27FC236}">
                  <a16:creationId xmlns:a16="http://schemas.microsoft.com/office/drawing/2014/main" id="{E3DA412A-89B9-3D22-9EDC-B7E082C5EE4D}"/>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9861550" y="425450"/>
              <a:ext cx="1733550" cy="154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215900</xdr:colOff>
      <xdr:row>4</xdr:row>
      <xdr:rowOff>60325</xdr:rowOff>
    </xdr:from>
    <xdr:to>
      <xdr:col>10</xdr:col>
      <xdr:colOff>323850</xdr:colOff>
      <xdr:row>17</xdr:row>
      <xdr:rowOff>107950</xdr:rowOff>
    </xdr:to>
    <xdr:graphicFrame macro="">
      <xdr:nvGraphicFramePr>
        <xdr:cNvPr id="2" name="Chart 1">
          <a:extLst>
            <a:ext uri="{FF2B5EF4-FFF2-40B4-BE49-F238E27FC236}">
              <a16:creationId xmlns:a16="http://schemas.microsoft.com/office/drawing/2014/main" id="{0FA82A71-5428-A324-384E-14DA61704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273050</xdr:colOff>
      <xdr:row>2</xdr:row>
      <xdr:rowOff>38100</xdr:rowOff>
    </xdr:from>
    <xdr:to>
      <xdr:col>10</xdr:col>
      <xdr:colOff>577850</xdr:colOff>
      <xdr:row>17</xdr:row>
      <xdr:rowOff>12700</xdr:rowOff>
    </xdr:to>
    <xdr:graphicFrame macro="">
      <xdr:nvGraphicFramePr>
        <xdr:cNvPr id="2" name="Chart 1">
          <a:extLst>
            <a:ext uri="{FF2B5EF4-FFF2-40B4-BE49-F238E27FC236}">
              <a16:creationId xmlns:a16="http://schemas.microsoft.com/office/drawing/2014/main" id="{BEC482A8-04A8-B222-CE57-2000D356A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6</xdr:row>
      <xdr:rowOff>168275</xdr:rowOff>
    </xdr:from>
    <xdr:to>
      <xdr:col>9</xdr:col>
      <xdr:colOff>254000</xdr:colOff>
      <xdr:row>17</xdr:row>
      <xdr:rowOff>38100</xdr:rowOff>
    </xdr:to>
    <xdr:graphicFrame macro="">
      <xdr:nvGraphicFramePr>
        <xdr:cNvPr id="2" name="Chart 1">
          <a:extLst>
            <a:ext uri="{FF2B5EF4-FFF2-40B4-BE49-F238E27FC236}">
              <a16:creationId xmlns:a16="http://schemas.microsoft.com/office/drawing/2014/main" id="{00A6521A-415E-B206-07DB-6B6F804B6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6350</xdr:colOff>
      <xdr:row>6</xdr:row>
      <xdr:rowOff>47625</xdr:rowOff>
    </xdr:from>
    <xdr:to>
      <xdr:col>9</xdr:col>
      <xdr:colOff>196850</xdr:colOff>
      <xdr:row>20</xdr:row>
      <xdr:rowOff>82550</xdr:rowOff>
    </xdr:to>
    <xdr:graphicFrame macro="">
      <xdr:nvGraphicFramePr>
        <xdr:cNvPr id="2" name="Chart 1">
          <a:extLst>
            <a:ext uri="{FF2B5EF4-FFF2-40B4-BE49-F238E27FC236}">
              <a16:creationId xmlns:a16="http://schemas.microsoft.com/office/drawing/2014/main" id="{4310CCFE-C7E4-80F6-E536-C31F025EF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224063</xdr:colOff>
      <xdr:row>0</xdr:row>
      <xdr:rowOff>0</xdr:rowOff>
    </xdr:from>
    <xdr:to>
      <xdr:col>5</xdr:col>
      <xdr:colOff>273957</xdr:colOff>
      <xdr:row>2</xdr:row>
      <xdr:rowOff>50800</xdr:rowOff>
    </xdr:to>
    <xdr:sp macro="" textlink="">
      <xdr:nvSpPr>
        <xdr:cNvPr id="2" name="Rectangle: Rounded Corners 1">
          <a:extLst>
            <a:ext uri="{FF2B5EF4-FFF2-40B4-BE49-F238E27FC236}">
              <a16:creationId xmlns:a16="http://schemas.microsoft.com/office/drawing/2014/main" id="{F50F6CEA-4C52-F0A7-A776-0F2A5DA431CF}"/>
            </a:ext>
          </a:extLst>
        </xdr:cNvPr>
        <xdr:cNvSpPr/>
      </xdr:nvSpPr>
      <xdr:spPr>
        <a:xfrm>
          <a:off x="6419849" y="0"/>
          <a:ext cx="4676322" cy="41365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2400"/>
            <a:t>PRODUCT</a:t>
          </a:r>
          <a:r>
            <a:rPr lang="en-US" sz="2400" baseline="0"/>
            <a:t> PERFORMANCE INSIGHTS</a:t>
          </a:r>
          <a:endParaRPr lang="en-US" sz="2400"/>
        </a:p>
      </xdr:txBody>
    </xdr:sp>
    <xdr:clientData/>
  </xdr:twoCellAnchor>
  <xdr:twoCellAnchor>
    <xdr:from>
      <xdr:col>3</xdr:col>
      <xdr:colOff>58057</xdr:colOff>
      <xdr:row>3</xdr:row>
      <xdr:rowOff>75292</xdr:rowOff>
    </xdr:from>
    <xdr:to>
      <xdr:col>4</xdr:col>
      <xdr:colOff>1714500</xdr:colOff>
      <xdr:row>6</xdr:row>
      <xdr:rowOff>90715</xdr:rowOff>
    </xdr:to>
    <xdr:sp macro="" textlink="">
      <xdr:nvSpPr>
        <xdr:cNvPr id="4" name="Rectangle: Rounded Corners 3">
          <a:extLst>
            <a:ext uri="{FF2B5EF4-FFF2-40B4-BE49-F238E27FC236}">
              <a16:creationId xmlns:a16="http://schemas.microsoft.com/office/drawing/2014/main" id="{95E098C6-AD0C-4C38-AFE5-856667F1B8B0}"/>
            </a:ext>
          </a:extLst>
        </xdr:cNvPr>
        <xdr:cNvSpPr/>
      </xdr:nvSpPr>
      <xdr:spPr>
        <a:xfrm>
          <a:off x="6172200" y="619578"/>
          <a:ext cx="1738086" cy="559708"/>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Average Rating</a:t>
          </a:r>
        </a:p>
        <a:p>
          <a:pPr algn="l"/>
          <a:r>
            <a:rPr lang="en-US" sz="1100" b="1" i="0" u="none" strike="noStrike">
              <a:solidFill>
                <a:srgbClr val="FF0000"/>
              </a:solidFill>
              <a:effectLst/>
              <a:latin typeface="+mn-lt"/>
              <a:ea typeface="+mn-ea"/>
              <a:cs typeface="+mn-cs"/>
            </a:rPr>
            <a:t>3.8894737</a:t>
          </a:r>
          <a:r>
            <a:rPr lang="en-US">
              <a:solidFill>
                <a:srgbClr val="FF0000"/>
              </a:solidFill>
              <a:effectLst/>
            </a:rPr>
            <a:t> </a:t>
          </a:r>
          <a:endParaRPr lang="en-US" sz="1100" b="1">
            <a:solidFill>
              <a:srgbClr val="FF0000"/>
            </a:solidFill>
          </a:endParaRPr>
        </a:p>
      </xdr:txBody>
    </xdr:sp>
    <xdr:clientData/>
  </xdr:twoCellAnchor>
  <xdr:twoCellAnchor>
    <xdr:from>
      <xdr:col>4</xdr:col>
      <xdr:colOff>2731407</xdr:colOff>
      <xdr:row>3</xdr:row>
      <xdr:rowOff>68942</xdr:rowOff>
    </xdr:from>
    <xdr:to>
      <xdr:col>4</xdr:col>
      <xdr:colOff>4336142</xdr:colOff>
      <xdr:row>6</xdr:row>
      <xdr:rowOff>154214</xdr:rowOff>
    </xdr:to>
    <xdr:sp macro="" textlink="">
      <xdr:nvSpPr>
        <xdr:cNvPr id="5" name="Rectangle: Rounded Corners 4">
          <a:extLst>
            <a:ext uri="{FF2B5EF4-FFF2-40B4-BE49-F238E27FC236}">
              <a16:creationId xmlns:a16="http://schemas.microsoft.com/office/drawing/2014/main" id="{D88D77C3-7867-46AC-A8F5-B133F673987A}"/>
            </a:ext>
          </a:extLst>
        </xdr:cNvPr>
        <xdr:cNvSpPr/>
      </xdr:nvSpPr>
      <xdr:spPr>
        <a:xfrm>
          <a:off x="8927193" y="613228"/>
          <a:ext cx="1604735" cy="629557"/>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Average discount%</a:t>
          </a:r>
        </a:p>
        <a:p>
          <a:pPr algn="l"/>
          <a:r>
            <a:rPr lang="en-US" sz="1100" b="1" i="0" u="none" strike="noStrike">
              <a:solidFill>
                <a:srgbClr val="FF0000"/>
              </a:solidFill>
              <a:effectLst/>
              <a:latin typeface="+mn-lt"/>
              <a:ea typeface="+mn-ea"/>
              <a:cs typeface="+mn-cs"/>
            </a:rPr>
            <a:t>0.37</a:t>
          </a:r>
          <a:r>
            <a:rPr lang="en-US">
              <a:solidFill>
                <a:srgbClr val="FF0000"/>
              </a:solidFill>
              <a:effectLst/>
            </a:rPr>
            <a:t> </a:t>
          </a:r>
          <a:endParaRPr lang="en-US" sz="1100" b="1">
            <a:solidFill>
              <a:srgbClr val="FF0000"/>
            </a:solidFill>
          </a:endParaRPr>
        </a:p>
      </xdr:txBody>
    </xdr:sp>
    <xdr:clientData/>
  </xdr:twoCellAnchor>
  <xdr:twoCellAnchor>
    <xdr:from>
      <xdr:col>5</xdr:col>
      <xdr:colOff>327478</xdr:colOff>
      <xdr:row>3</xdr:row>
      <xdr:rowOff>77106</xdr:rowOff>
    </xdr:from>
    <xdr:to>
      <xdr:col>7</xdr:col>
      <xdr:colOff>518583</xdr:colOff>
      <xdr:row>6</xdr:row>
      <xdr:rowOff>163285</xdr:rowOff>
    </xdr:to>
    <xdr:sp macro="" textlink="">
      <xdr:nvSpPr>
        <xdr:cNvPr id="6" name="Rectangle: Rounded Corners 5">
          <a:extLst>
            <a:ext uri="{FF2B5EF4-FFF2-40B4-BE49-F238E27FC236}">
              <a16:creationId xmlns:a16="http://schemas.microsoft.com/office/drawing/2014/main" id="{A579B3F4-4127-4B12-A04A-685263A43D39}"/>
            </a:ext>
          </a:extLst>
        </xdr:cNvPr>
        <xdr:cNvSpPr/>
      </xdr:nvSpPr>
      <xdr:spPr>
        <a:xfrm>
          <a:off x="10889645" y="616856"/>
          <a:ext cx="2022021" cy="625929"/>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Total number of</a:t>
          </a:r>
          <a:r>
            <a:rPr lang="en-US" sz="1100" b="1" baseline="0">
              <a:solidFill>
                <a:srgbClr val="FF0000"/>
              </a:solidFill>
            </a:rPr>
            <a:t> </a:t>
          </a:r>
          <a:r>
            <a:rPr lang="en-US" sz="1100" b="1">
              <a:solidFill>
                <a:srgbClr val="FF0000"/>
              </a:solidFill>
            </a:rPr>
            <a:t>reviews</a:t>
          </a:r>
        </a:p>
        <a:p>
          <a:pPr algn="l"/>
          <a:r>
            <a:rPr lang="en-US" sz="1100" b="1" i="0" u="none" strike="noStrike">
              <a:solidFill>
                <a:srgbClr val="FF0000"/>
              </a:solidFill>
              <a:effectLst/>
              <a:latin typeface="+mn-lt"/>
              <a:ea typeface="+mn-ea"/>
              <a:cs typeface="+mn-cs"/>
            </a:rPr>
            <a:t>57</a:t>
          </a:r>
          <a:r>
            <a:rPr lang="en-US">
              <a:solidFill>
                <a:srgbClr val="FF0000"/>
              </a:solidFill>
              <a:effectLst/>
            </a:rPr>
            <a:t> </a:t>
          </a:r>
          <a:endParaRPr lang="en-US" sz="1100" b="1">
            <a:solidFill>
              <a:srgbClr val="FF0000"/>
            </a:solidFill>
          </a:endParaRPr>
        </a:p>
      </xdr:txBody>
    </xdr:sp>
    <xdr:clientData/>
  </xdr:twoCellAnchor>
  <xdr:twoCellAnchor>
    <xdr:from>
      <xdr:col>1</xdr:col>
      <xdr:colOff>2713263</xdr:colOff>
      <xdr:row>3</xdr:row>
      <xdr:rowOff>47171</xdr:rowOff>
    </xdr:from>
    <xdr:to>
      <xdr:col>2</xdr:col>
      <xdr:colOff>816427</xdr:colOff>
      <xdr:row>6</xdr:row>
      <xdr:rowOff>108857</xdr:rowOff>
    </xdr:to>
    <xdr:sp macro="" textlink="">
      <xdr:nvSpPr>
        <xdr:cNvPr id="7" name="Rectangle: Rounded Corners 6">
          <a:extLst>
            <a:ext uri="{FF2B5EF4-FFF2-40B4-BE49-F238E27FC236}">
              <a16:creationId xmlns:a16="http://schemas.microsoft.com/office/drawing/2014/main" id="{75C39CE3-16D4-40D7-9A6A-8921DC69C5C0}"/>
            </a:ext>
          </a:extLst>
        </xdr:cNvPr>
        <xdr:cNvSpPr/>
      </xdr:nvSpPr>
      <xdr:spPr>
        <a:xfrm>
          <a:off x="3321049" y="591457"/>
          <a:ext cx="2484664" cy="605971"/>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FF0000"/>
              </a:solidFill>
            </a:rPr>
            <a:t>Tt. No. of Products</a:t>
          </a:r>
        </a:p>
        <a:p>
          <a:pPr algn="l"/>
          <a:r>
            <a:rPr lang="en-US" sz="1400" b="1" i="0" u="none" strike="noStrike">
              <a:solidFill>
                <a:srgbClr val="FF0000"/>
              </a:solidFill>
              <a:effectLst/>
              <a:latin typeface="+mn-lt"/>
              <a:ea typeface="+mn-ea"/>
              <a:cs typeface="+mn-cs"/>
            </a:rPr>
            <a:t>112</a:t>
          </a:r>
          <a:r>
            <a:rPr lang="en-US" sz="1400">
              <a:solidFill>
                <a:srgbClr val="FF0000"/>
              </a:solidFill>
              <a:effectLst/>
            </a:rPr>
            <a:t> </a:t>
          </a:r>
          <a:endParaRPr lang="en-US" sz="1400" b="1">
            <a:solidFill>
              <a:srgbClr val="FF0000"/>
            </a:solidFill>
          </a:endParaRPr>
        </a:p>
        <a:p>
          <a:pPr algn="l"/>
          <a:endParaRPr lang="en-US" sz="1100" b="1">
            <a:solidFill>
              <a:srgbClr val="FF0000"/>
            </a:solidFill>
          </a:endParaRPr>
        </a:p>
      </xdr:txBody>
    </xdr:sp>
    <xdr:clientData/>
  </xdr:twoCellAnchor>
  <xdr:twoCellAnchor>
    <xdr:from>
      <xdr:col>6</xdr:col>
      <xdr:colOff>0</xdr:colOff>
      <xdr:row>9</xdr:row>
      <xdr:rowOff>54429</xdr:rowOff>
    </xdr:from>
    <xdr:to>
      <xdr:col>12</xdr:col>
      <xdr:colOff>243417</xdr:colOff>
      <xdr:row>20</xdr:row>
      <xdr:rowOff>105833</xdr:rowOff>
    </xdr:to>
    <xdr:graphicFrame macro="">
      <xdr:nvGraphicFramePr>
        <xdr:cNvPr id="13" name="Chart 12">
          <a:extLst>
            <a:ext uri="{FF2B5EF4-FFF2-40B4-BE49-F238E27FC236}">
              <a16:creationId xmlns:a16="http://schemas.microsoft.com/office/drawing/2014/main" id="{D15D5A52-BF01-44A3-AE43-B7EA523B8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60778</xdr:colOff>
      <xdr:row>21</xdr:row>
      <xdr:rowOff>47172</xdr:rowOff>
    </xdr:from>
    <xdr:to>
      <xdr:col>5</xdr:col>
      <xdr:colOff>861786</xdr:colOff>
      <xdr:row>31</xdr:row>
      <xdr:rowOff>136072</xdr:rowOff>
    </xdr:to>
    <xdr:graphicFrame macro="">
      <xdr:nvGraphicFramePr>
        <xdr:cNvPr id="14" name="Chart 13">
          <a:extLst>
            <a:ext uri="{FF2B5EF4-FFF2-40B4-BE49-F238E27FC236}">
              <a16:creationId xmlns:a16="http://schemas.microsoft.com/office/drawing/2014/main" id="{C8BC1269-7651-4A95-8E41-AE35EA47F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140305</xdr:colOff>
      <xdr:row>31</xdr:row>
      <xdr:rowOff>105832</xdr:rowOff>
    </xdr:from>
    <xdr:to>
      <xdr:col>1</xdr:col>
      <xdr:colOff>3556000</xdr:colOff>
      <xdr:row>43</xdr:row>
      <xdr:rowOff>148165</xdr:rowOff>
    </xdr:to>
    <xdr:graphicFrame macro="">
      <xdr:nvGraphicFramePr>
        <xdr:cNvPr id="15" name="Chart 14">
          <a:extLst>
            <a:ext uri="{FF2B5EF4-FFF2-40B4-BE49-F238E27FC236}">
              <a16:creationId xmlns:a16="http://schemas.microsoft.com/office/drawing/2014/main" id="{4359FB61-03FE-48B4-88EC-5FC6348E2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929821</xdr:colOff>
      <xdr:row>21</xdr:row>
      <xdr:rowOff>166005</xdr:rowOff>
    </xdr:from>
    <xdr:to>
      <xdr:col>12</xdr:col>
      <xdr:colOff>232833</xdr:colOff>
      <xdr:row>32</xdr:row>
      <xdr:rowOff>74083</xdr:rowOff>
    </xdr:to>
    <xdr:graphicFrame macro="">
      <xdr:nvGraphicFramePr>
        <xdr:cNvPr id="16" name="Chart 15">
          <a:extLst>
            <a:ext uri="{FF2B5EF4-FFF2-40B4-BE49-F238E27FC236}">
              <a16:creationId xmlns:a16="http://schemas.microsoft.com/office/drawing/2014/main" id="{EFE07507-EE2E-4498-BBB1-1C68FE334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260047</xdr:colOff>
      <xdr:row>32</xdr:row>
      <xdr:rowOff>164798</xdr:rowOff>
    </xdr:from>
    <xdr:to>
      <xdr:col>18</xdr:col>
      <xdr:colOff>247347</xdr:colOff>
      <xdr:row>47</xdr:row>
      <xdr:rowOff>62742</xdr:rowOff>
    </xdr:to>
    <mc:AlternateContent xmlns:mc="http://schemas.openxmlformats.org/markup-compatibility/2006">
      <mc:Choice xmlns:a14="http://schemas.microsoft.com/office/drawing/2010/main" Requires="a14">
        <xdr:graphicFrame macro="">
          <xdr:nvGraphicFramePr>
            <xdr:cNvPr id="17" name="Product 1">
              <a:extLst>
                <a:ext uri="{FF2B5EF4-FFF2-40B4-BE49-F238E27FC236}">
                  <a16:creationId xmlns:a16="http://schemas.microsoft.com/office/drawing/2014/main" id="{E52FED72-C374-A51D-FE64-AF28C2D97D6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7563797" y="5922131"/>
              <a:ext cx="1828800" cy="2596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238880</xdr:colOff>
      <xdr:row>17</xdr:row>
      <xdr:rowOff>128513</xdr:rowOff>
    </xdr:from>
    <xdr:to>
      <xdr:col>18</xdr:col>
      <xdr:colOff>226180</xdr:colOff>
      <xdr:row>32</xdr:row>
      <xdr:rowOff>27968</xdr:rowOff>
    </xdr:to>
    <mc:AlternateContent xmlns:mc="http://schemas.openxmlformats.org/markup-compatibility/2006">
      <mc:Choice xmlns:a14="http://schemas.microsoft.com/office/drawing/2010/main" Requires="a14">
        <xdr:graphicFrame macro="">
          <xdr:nvGraphicFramePr>
            <xdr:cNvPr id="18" name="Discount Category 1">
              <a:extLst>
                <a:ext uri="{FF2B5EF4-FFF2-40B4-BE49-F238E27FC236}">
                  <a16:creationId xmlns:a16="http://schemas.microsoft.com/office/drawing/2014/main" id="{AF382B6A-D265-2D14-2EA5-F9B8C71E892A}"/>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17542630" y="3187096"/>
              <a:ext cx="1828800" cy="2598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87692</xdr:colOff>
      <xdr:row>1</xdr:row>
      <xdr:rowOff>172356</xdr:rowOff>
    </xdr:from>
    <xdr:to>
      <xdr:col>18</xdr:col>
      <xdr:colOff>93135</xdr:colOff>
      <xdr:row>17</xdr:row>
      <xdr:rowOff>21920</xdr:rowOff>
    </xdr:to>
    <mc:AlternateContent xmlns:mc="http://schemas.openxmlformats.org/markup-compatibility/2006">
      <mc:Choice xmlns:a14="http://schemas.microsoft.com/office/drawing/2010/main" Requires="a14">
        <xdr:graphicFrame macro="">
          <xdr:nvGraphicFramePr>
            <xdr:cNvPr id="19" name="Rating Category 1">
              <a:extLst>
                <a:ext uri="{FF2B5EF4-FFF2-40B4-BE49-F238E27FC236}">
                  <a16:creationId xmlns:a16="http://schemas.microsoft.com/office/drawing/2014/main" id="{C4E81667-2615-1FBF-00C6-93830665CAA6}"/>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17391442" y="352273"/>
              <a:ext cx="1846943" cy="2728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vis Kinyua" refreshedDate="46110.564158564812" createdVersion="8" refreshedVersion="8" minRefreshableVersion="3" recordCount="112" xr:uid="{4E298357-F47E-46FA-B04B-5F421DEAA6B2}">
  <cacheSource type="worksheet">
    <worksheetSource name="Table3"/>
  </cacheSource>
  <cacheFields count="10">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numFmtId="2">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3">
        <rangePr autoStart="0" autoEnd="0" startNum="0" endNum="0.7" groupInterval="0.1"/>
        <groupItems count="9">
          <s v="&lt;0"/>
          <s v="0-0.1"/>
          <s v="0.1-0.2"/>
          <s v="0.2-0.3"/>
          <s v="0.3-0.4"/>
          <s v="0.4-0.5"/>
          <s v="0.5-0.6"/>
          <s v="0.6-0.7"/>
          <s v="&gt;0.7"/>
        </groupItems>
      </fieldGroup>
    </cacheField>
    <cacheField name="Discount Category" numFmtId="9">
      <sharedItems count="3">
        <s v="Medium"/>
        <s v="High"/>
        <s v="Low"/>
      </sharedItems>
    </cacheField>
    <cacheField name="Discount Amount" numFmtId="1">
      <sharedItems containsSemiMixedTypes="0" containsString="0" containsNumber="1" containsInteger="1" minValue="24" maxValue="2585"/>
    </cacheField>
    <cacheField name="Review" numFmtId="0">
      <sharedItems containsMixedTypes="1" containsNumber="1" containsInteger="1" minValue="1" maxValue="69" count="24">
        <n v="2"/>
        <n v="14"/>
        <n v="24"/>
        <n v="7"/>
        <n v="5"/>
        <n v="15"/>
        <n v="55"/>
        <n v="12"/>
        <n v="39"/>
        <n v="6"/>
        <n v="9"/>
        <n v="3"/>
        <n v="44"/>
        <n v="13"/>
        <s v="Not Provided"/>
        <n v="49"/>
        <n v="20"/>
        <n v="32"/>
        <n v="1"/>
        <n v="36"/>
        <n v="10"/>
        <n v="69"/>
        <n v="16"/>
        <n v="17"/>
      </sharedItems>
    </cacheField>
    <cacheField name="Ratings" numFmtId="0">
      <sharedItems containsMixedTypes="1" containsNumber="1" minValue="2" maxValue="5" count="23">
        <n v="4.5"/>
        <n v="4.0999999999999996"/>
        <n v="4.5999999999999996"/>
        <n v="4.7"/>
        <n v="4.8"/>
        <n v="4"/>
        <n v="3.8"/>
        <n v="4.2"/>
        <n v="5"/>
        <n v="3.3"/>
        <s v="N/A"/>
        <n v="4.4000000000000004"/>
        <n v="4.3"/>
        <n v="2.5"/>
        <n v="3"/>
        <n v="2.1"/>
        <n v="2.8"/>
        <n v="2.7"/>
        <n v="2.9"/>
        <n v="2.2000000000000002"/>
        <n v="2.2999999999999998"/>
        <n v="2.6"/>
        <n v="2"/>
      </sharedItems>
      <fieldGroup par="9"/>
    </cacheField>
    <cacheField name="Rating Category" numFmtId="0">
      <sharedItems count="4">
        <s v="Excellent"/>
        <s v="Average"/>
        <s v="N/A"/>
        <s v="Poor"/>
      </sharedItems>
    </cacheField>
    <cacheField name="Ratings2" numFmtId="0" databaseField="0">
      <fieldGroup base="7">
        <discretePr count="23">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2088107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x v="0"/>
    <x v="0"/>
    <n v="575"/>
    <x v="0"/>
    <x v="0"/>
    <x v="0"/>
  </r>
  <r>
    <x v="1"/>
    <n v="527"/>
    <n v="999"/>
    <x v="1"/>
    <x v="1"/>
    <n v="472"/>
    <x v="1"/>
    <x v="1"/>
    <x v="1"/>
  </r>
  <r>
    <x v="2"/>
    <n v="2199"/>
    <n v="2923"/>
    <x v="2"/>
    <x v="0"/>
    <n v="724"/>
    <x v="2"/>
    <x v="2"/>
    <x v="0"/>
  </r>
  <r>
    <x v="3"/>
    <n v="1580"/>
    <n v="2499"/>
    <x v="3"/>
    <x v="0"/>
    <n v="919"/>
    <x v="3"/>
    <x v="3"/>
    <x v="0"/>
  </r>
  <r>
    <x v="4"/>
    <n v="1740"/>
    <n v="2356"/>
    <x v="4"/>
    <x v="0"/>
    <n v="616"/>
    <x v="4"/>
    <x v="4"/>
    <x v="0"/>
  </r>
  <r>
    <x v="5"/>
    <n v="2999"/>
    <n v="3290"/>
    <x v="5"/>
    <x v="2"/>
    <n v="291"/>
    <x v="5"/>
    <x v="5"/>
    <x v="1"/>
  </r>
  <r>
    <x v="6"/>
    <n v="2319"/>
    <n v="3032"/>
    <x v="6"/>
    <x v="0"/>
    <n v="713"/>
    <x v="6"/>
    <x v="2"/>
    <x v="0"/>
  </r>
  <r>
    <x v="7"/>
    <n v="988"/>
    <n v="1580"/>
    <x v="3"/>
    <x v="0"/>
    <n v="592"/>
    <x v="0"/>
    <x v="5"/>
    <x v="1"/>
  </r>
  <r>
    <x v="8"/>
    <n v="1274"/>
    <n v="2800"/>
    <x v="7"/>
    <x v="1"/>
    <n v="1526"/>
    <x v="4"/>
    <x v="4"/>
    <x v="0"/>
  </r>
  <r>
    <x v="9"/>
    <n v="1600"/>
    <n v="2929"/>
    <x v="8"/>
    <x v="1"/>
    <n v="1329"/>
    <x v="4"/>
    <x v="6"/>
    <x v="1"/>
  </r>
  <r>
    <x v="10"/>
    <n v="799"/>
    <n v="999"/>
    <x v="9"/>
    <x v="0"/>
    <n v="200"/>
    <x v="7"/>
    <x v="1"/>
    <x v="1"/>
  </r>
  <r>
    <x v="11"/>
    <n v="990"/>
    <n v="1500"/>
    <x v="10"/>
    <x v="0"/>
    <n v="510"/>
    <x v="8"/>
    <x v="3"/>
    <x v="0"/>
  </r>
  <r>
    <x v="12"/>
    <n v="552"/>
    <n v="1035"/>
    <x v="1"/>
    <x v="1"/>
    <n v="483"/>
    <x v="7"/>
    <x v="4"/>
    <x v="0"/>
  </r>
  <r>
    <x v="13"/>
    <n v="501"/>
    <n v="860"/>
    <x v="11"/>
    <x v="1"/>
    <n v="359"/>
    <x v="9"/>
    <x v="0"/>
    <x v="0"/>
  </r>
  <r>
    <x v="14"/>
    <n v="1680"/>
    <n v="2499"/>
    <x v="12"/>
    <x v="0"/>
    <n v="819"/>
    <x v="10"/>
    <x v="7"/>
    <x v="1"/>
  </r>
  <r>
    <x v="15"/>
    <n v="332"/>
    <n v="684"/>
    <x v="13"/>
    <x v="1"/>
    <n v="352"/>
    <x v="0"/>
    <x v="8"/>
    <x v="0"/>
  </r>
  <r>
    <x v="16"/>
    <n v="195"/>
    <n v="360"/>
    <x v="14"/>
    <x v="1"/>
    <n v="165"/>
    <x v="0"/>
    <x v="8"/>
    <x v="0"/>
  </r>
  <r>
    <x v="17"/>
    <n v="2025"/>
    <n v="3971"/>
    <x v="15"/>
    <x v="1"/>
    <n v="1946"/>
    <x v="11"/>
    <x v="8"/>
    <x v="0"/>
  </r>
  <r>
    <x v="18"/>
    <n v="2999"/>
    <n v="3699"/>
    <x v="16"/>
    <x v="2"/>
    <n v="700"/>
    <x v="4"/>
    <x v="2"/>
    <x v="0"/>
  </r>
  <r>
    <x v="19"/>
    <n v="998"/>
    <n v="1966"/>
    <x v="15"/>
    <x v="1"/>
    <n v="968"/>
    <x v="12"/>
    <x v="2"/>
    <x v="0"/>
  </r>
  <r>
    <x v="20"/>
    <n v="38"/>
    <n v="80"/>
    <x v="17"/>
    <x v="1"/>
    <n v="42"/>
    <x v="13"/>
    <x v="9"/>
    <x v="1"/>
  </r>
  <r>
    <x v="21"/>
    <n v="1860"/>
    <n v="3220"/>
    <x v="11"/>
    <x v="1"/>
    <n v="1360"/>
    <x v="14"/>
    <x v="10"/>
    <x v="2"/>
  </r>
  <r>
    <x v="22"/>
    <n v="880"/>
    <n v="1350"/>
    <x v="18"/>
    <x v="0"/>
    <n v="470"/>
    <x v="9"/>
    <x v="5"/>
    <x v="1"/>
  </r>
  <r>
    <x v="23"/>
    <n v="1650"/>
    <n v="2150"/>
    <x v="19"/>
    <x v="0"/>
    <n v="500"/>
    <x v="1"/>
    <x v="11"/>
    <x v="1"/>
  </r>
  <r>
    <x v="24"/>
    <n v="2048"/>
    <n v="4500"/>
    <x v="20"/>
    <x v="1"/>
    <n v="2452"/>
    <x v="3"/>
    <x v="12"/>
    <x v="1"/>
  </r>
  <r>
    <x v="25"/>
    <n v="420"/>
    <n v="647"/>
    <x v="18"/>
    <x v="0"/>
    <n v="227"/>
    <x v="15"/>
    <x v="2"/>
    <x v="0"/>
  </r>
  <r>
    <x v="26"/>
    <n v="2880"/>
    <n v="3520"/>
    <x v="21"/>
    <x v="2"/>
    <n v="640"/>
    <x v="7"/>
    <x v="6"/>
    <x v="1"/>
  </r>
  <r>
    <x v="27"/>
    <n v="1350"/>
    <n v="1990"/>
    <x v="22"/>
    <x v="0"/>
    <n v="640"/>
    <x v="13"/>
    <x v="6"/>
    <x v="1"/>
  </r>
  <r>
    <x v="28"/>
    <n v="1758"/>
    <n v="2499"/>
    <x v="23"/>
    <x v="0"/>
    <n v="741"/>
    <x v="16"/>
    <x v="1"/>
    <x v="1"/>
  </r>
  <r>
    <x v="29"/>
    <n v="2200"/>
    <n v="4080"/>
    <x v="14"/>
    <x v="1"/>
    <n v="1880"/>
    <x v="14"/>
    <x v="10"/>
    <x v="2"/>
  </r>
  <r>
    <x v="30"/>
    <n v="185"/>
    <n v="382"/>
    <x v="24"/>
    <x v="1"/>
    <n v="197"/>
    <x v="10"/>
    <x v="12"/>
    <x v="1"/>
  </r>
  <r>
    <x v="31"/>
    <n v="980"/>
    <n v="1490"/>
    <x v="10"/>
    <x v="0"/>
    <n v="510"/>
    <x v="7"/>
    <x v="3"/>
    <x v="0"/>
  </r>
  <r>
    <x v="32"/>
    <n v="1820"/>
    <n v="3490"/>
    <x v="25"/>
    <x v="1"/>
    <n v="1670"/>
    <x v="10"/>
    <x v="12"/>
    <x v="1"/>
  </r>
  <r>
    <x v="33"/>
    <n v="1940"/>
    <n v="2650"/>
    <x v="26"/>
    <x v="0"/>
    <n v="710"/>
    <x v="16"/>
    <x v="3"/>
    <x v="0"/>
  </r>
  <r>
    <x v="34"/>
    <n v="1980"/>
    <n v="2699"/>
    <x v="26"/>
    <x v="0"/>
    <n v="719"/>
    <x v="17"/>
    <x v="0"/>
    <x v="0"/>
  </r>
  <r>
    <x v="35"/>
    <n v="1620"/>
    <n v="2690"/>
    <x v="27"/>
    <x v="0"/>
    <n v="1070"/>
    <x v="18"/>
    <x v="8"/>
    <x v="0"/>
  </r>
  <r>
    <x v="36"/>
    <n v="171"/>
    <n v="360"/>
    <x v="17"/>
    <x v="1"/>
    <n v="189"/>
    <x v="0"/>
    <x v="8"/>
    <x v="0"/>
  </r>
  <r>
    <x v="37"/>
    <n v="389"/>
    <n v="656"/>
    <x v="28"/>
    <x v="1"/>
    <n v="267"/>
    <x v="19"/>
    <x v="12"/>
    <x v="1"/>
  </r>
  <r>
    <x v="38"/>
    <n v="1800"/>
    <n v="2700"/>
    <x v="0"/>
    <x v="0"/>
    <n v="900"/>
    <x v="0"/>
    <x v="0"/>
    <x v="0"/>
  </r>
  <r>
    <x v="39"/>
    <n v="2750"/>
    <n v="4471"/>
    <x v="0"/>
    <x v="0"/>
    <n v="1721"/>
    <x v="14"/>
    <x v="10"/>
    <x v="2"/>
  </r>
  <r>
    <x v="40"/>
    <n v="475"/>
    <n v="931"/>
    <x v="15"/>
    <x v="1"/>
    <n v="456"/>
    <x v="14"/>
    <x v="10"/>
    <x v="2"/>
  </r>
  <r>
    <x v="41"/>
    <n v="238"/>
    <n v="476"/>
    <x v="29"/>
    <x v="1"/>
    <n v="238"/>
    <x v="14"/>
    <x v="10"/>
    <x v="2"/>
  </r>
  <r>
    <x v="42"/>
    <n v="610"/>
    <n v="1060"/>
    <x v="11"/>
    <x v="1"/>
    <n v="450"/>
    <x v="14"/>
    <x v="10"/>
    <x v="2"/>
  </r>
  <r>
    <x v="43"/>
    <n v="2132"/>
    <n v="2169"/>
    <x v="30"/>
    <x v="2"/>
    <n v="37"/>
    <x v="14"/>
    <x v="10"/>
    <x v="2"/>
  </r>
  <r>
    <x v="44"/>
    <n v="999"/>
    <n v="2000"/>
    <x v="29"/>
    <x v="1"/>
    <n v="1001"/>
    <x v="14"/>
    <x v="10"/>
    <x v="2"/>
  </r>
  <r>
    <x v="45"/>
    <n v="1190"/>
    <n v="1785"/>
    <x v="12"/>
    <x v="0"/>
    <n v="595"/>
    <x v="14"/>
    <x v="10"/>
    <x v="2"/>
  </r>
  <r>
    <x v="46"/>
    <n v="671"/>
    <n v="1316"/>
    <x v="15"/>
    <x v="1"/>
    <n v="645"/>
    <x v="14"/>
    <x v="10"/>
    <x v="2"/>
  </r>
  <r>
    <x v="47"/>
    <n v="1200"/>
    <n v="1950"/>
    <x v="0"/>
    <x v="0"/>
    <n v="750"/>
    <x v="14"/>
    <x v="10"/>
    <x v="2"/>
  </r>
  <r>
    <x v="48"/>
    <n v="199"/>
    <n v="504"/>
    <x v="31"/>
    <x v="1"/>
    <n v="305"/>
    <x v="14"/>
    <x v="10"/>
    <x v="2"/>
  </r>
  <r>
    <x v="49"/>
    <n v="299"/>
    <n v="600"/>
    <x v="29"/>
    <x v="1"/>
    <n v="301"/>
    <x v="14"/>
    <x v="10"/>
    <x v="2"/>
  </r>
  <r>
    <x v="50"/>
    <n v="1660"/>
    <n v="1699"/>
    <x v="30"/>
    <x v="2"/>
    <n v="39"/>
    <x v="14"/>
    <x v="10"/>
    <x v="2"/>
  </r>
  <r>
    <x v="51"/>
    <n v="299"/>
    <n v="384"/>
    <x v="32"/>
    <x v="0"/>
    <n v="85"/>
    <x v="14"/>
    <x v="10"/>
    <x v="2"/>
  </r>
  <r>
    <x v="52"/>
    <n v="1459"/>
    <n v="1499"/>
    <x v="33"/>
    <x v="2"/>
    <n v="40"/>
    <x v="14"/>
    <x v="10"/>
    <x v="2"/>
  </r>
  <r>
    <x v="53"/>
    <n v="799"/>
    <n v="1343"/>
    <x v="28"/>
    <x v="1"/>
    <n v="544"/>
    <x v="14"/>
    <x v="10"/>
    <x v="2"/>
  </r>
  <r>
    <x v="54"/>
    <n v="499"/>
    <n v="900"/>
    <x v="8"/>
    <x v="1"/>
    <n v="401"/>
    <x v="14"/>
    <x v="10"/>
    <x v="2"/>
  </r>
  <r>
    <x v="55"/>
    <n v="699"/>
    <n v="1343"/>
    <x v="25"/>
    <x v="1"/>
    <n v="644"/>
    <x v="14"/>
    <x v="10"/>
    <x v="2"/>
  </r>
  <r>
    <x v="56"/>
    <n v="799"/>
    <n v="1567"/>
    <x v="15"/>
    <x v="1"/>
    <n v="768"/>
    <x v="14"/>
    <x v="10"/>
    <x v="2"/>
  </r>
  <r>
    <x v="57"/>
    <n v="2799"/>
    <n v="3810"/>
    <x v="26"/>
    <x v="0"/>
    <n v="1011"/>
    <x v="14"/>
    <x v="10"/>
    <x v="2"/>
  </r>
  <r>
    <x v="54"/>
    <n v="399"/>
    <n v="896"/>
    <x v="7"/>
    <x v="1"/>
    <n v="497"/>
    <x v="14"/>
    <x v="10"/>
    <x v="2"/>
  </r>
  <r>
    <x v="58"/>
    <n v="2170"/>
    <n v="2500"/>
    <x v="34"/>
    <x v="2"/>
    <n v="330"/>
    <x v="9"/>
    <x v="13"/>
    <x v="3"/>
  </r>
  <r>
    <x v="59"/>
    <n v="458"/>
    <n v="986"/>
    <x v="20"/>
    <x v="1"/>
    <n v="528"/>
    <x v="20"/>
    <x v="14"/>
    <x v="1"/>
  </r>
  <r>
    <x v="60"/>
    <n v="2115"/>
    <n v="4700"/>
    <x v="7"/>
    <x v="1"/>
    <n v="2585"/>
    <x v="13"/>
    <x v="15"/>
    <x v="3"/>
  </r>
  <r>
    <x v="61"/>
    <n v="445"/>
    <n v="873"/>
    <x v="15"/>
    <x v="1"/>
    <n v="428"/>
    <x v="21"/>
    <x v="16"/>
    <x v="3"/>
  </r>
  <r>
    <x v="62"/>
    <n v="325"/>
    <n v="680"/>
    <x v="24"/>
    <x v="1"/>
    <n v="355"/>
    <x v="5"/>
    <x v="17"/>
    <x v="3"/>
  </r>
  <r>
    <x v="63"/>
    <n v="1220"/>
    <n v="1555"/>
    <x v="32"/>
    <x v="0"/>
    <n v="335"/>
    <x v="22"/>
    <x v="18"/>
    <x v="3"/>
  </r>
  <r>
    <x v="64"/>
    <n v="990"/>
    <n v="1814"/>
    <x v="8"/>
    <x v="1"/>
    <n v="824"/>
    <x v="9"/>
    <x v="19"/>
    <x v="3"/>
  </r>
  <r>
    <x v="65"/>
    <n v="1000"/>
    <n v="2000"/>
    <x v="29"/>
    <x v="1"/>
    <n v="1000"/>
    <x v="3"/>
    <x v="20"/>
    <x v="3"/>
  </r>
  <r>
    <x v="66"/>
    <n v="3750"/>
    <n v="6143"/>
    <x v="35"/>
    <x v="0"/>
    <n v="2393"/>
    <x v="4"/>
    <x v="14"/>
    <x v="1"/>
  </r>
  <r>
    <x v="67"/>
    <n v="382"/>
    <n v="700"/>
    <x v="8"/>
    <x v="1"/>
    <n v="318"/>
    <x v="23"/>
    <x v="21"/>
    <x v="3"/>
  </r>
  <r>
    <x v="68"/>
    <n v="2300"/>
    <n v="3240"/>
    <x v="36"/>
    <x v="0"/>
    <n v="940"/>
    <x v="4"/>
    <x v="14"/>
    <x v="1"/>
  </r>
  <r>
    <x v="69"/>
    <n v="345"/>
    <n v="602"/>
    <x v="37"/>
    <x v="1"/>
    <n v="257"/>
    <x v="9"/>
    <x v="20"/>
    <x v="3"/>
  </r>
  <r>
    <x v="70"/>
    <n v="509"/>
    <n v="899"/>
    <x v="37"/>
    <x v="1"/>
    <n v="390"/>
    <x v="4"/>
    <x v="14"/>
    <x v="1"/>
  </r>
  <r>
    <x v="71"/>
    <n v="968"/>
    <n v="1814"/>
    <x v="1"/>
    <x v="1"/>
    <n v="846"/>
    <x v="9"/>
    <x v="19"/>
    <x v="3"/>
  </r>
  <r>
    <x v="72"/>
    <n v="1570"/>
    <n v="2988"/>
    <x v="1"/>
    <x v="1"/>
    <n v="1418"/>
    <x v="3"/>
    <x v="15"/>
    <x v="3"/>
  </r>
  <r>
    <x v="73"/>
    <n v="790"/>
    <n v="1485"/>
    <x v="1"/>
    <x v="1"/>
    <n v="695"/>
    <x v="14"/>
    <x v="10"/>
    <x v="2"/>
  </r>
  <r>
    <x v="74"/>
    <n v="690"/>
    <n v="1200"/>
    <x v="37"/>
    <x v="1"/>
    <n v="510"/>
    <x v="14"/>
    <x v="10"/>
    <x v="2"/>
  </r>
  <r>
    <x v="75"/>
    <n v="1732"/>
    <n v="1799"/>
    <x v="38"/>
    <x v="2"/>
    <n v="67"/>
    <x v="14"/>
    <x v="10"/>
    <x v="2"/>
  </r>
  <r>
    <x v="76"/>
    <n v="230"/>
    <n v="450"/>
    <x v="15"/>
    <x v="1"/>
    <n v="220"/>
    <x v="14"/>
    <x v="10"/>
    <x v="2"/>
  </r>
  <r>
    <x v="77"/>
    <n v="1189"/>
    <n v="2199"/>
    <x v="14"/>
    <x v="1"/>
    <n v="1010"/>
    <x v="18"/>
    <x v="14"/>
    <x v="1"/>
  </r>
  <r>
    <x v="78"/>
    <n v="979"/>
    <n v="1920"/>
    <x v="15"/>
    <x v="1"/>
    <n v="941"/>
    <x v="18"/>
    <x v="8"/>
    <x v="0"/>
  </r>
  <r>
    <x v="79"/>
    <n v="1460"/>
    <n v="2290"/>
    <x v="39"/>
    <x v="0"/>
    <n v="830"/>
    <x v="14"/>
    <x v="10"/>
    <x v="2"/>
  </r>
  <r>
    <x v="80"/>
    <n v="1666"/>
    <n v="1699"/>
    <x v="30"/>
    <x v="2"/>
    <n v="33"/>
    <x v="14"/>
    <x v="10"/>
    <x v="2"/>
  </r>
  <r>
    <x v="81"/>
    <n v="330"/>
    <n v="647"/>
    <x v="15"/>
    <x v="1"/>
    <n v="317"/>
    <x v="18"/>
    <x v="5"/>
    <x v="1"/>
  </r>
  <r>
    <x v="48"/>
    <n v="176"/>
    <n v="345"/>
    <x v="15"/>
    <x v="1"/>
    <n v="169"/>
    <x v="14"/>
    <x v="10"/>
    <x v="2"/>
  </r>
  <r>
    <x v="82"/>
    <n v="1466"/>
    <n v="1699"/>
    <x v="40"/>
    <x v="2"/>
    <n v="233"/>
    <x v="14"/>
    <x v="10"/>
    <x v="2"/>
  </r>
  <r>
    <x v="83"/>
    <n v="274"/>
    <n v="537"/>
    <x v="15"/>
    <x v="1"/>
    <n v="263"/>
    <x v="14"/>
    <x v="10"/>
    <x v="2"/>
  </r>
  <r>
    <x v="84"/>
    <n v="799"/>
    <n v="900"/>
    <x v="41"/>
    <x v="2"/>
    <n v="101"/>
    <x v="14"/>
    <x v="10"/>
    <x v="2"/>
  </r>
  <r>
    <x v="56"/>
    <n v="657"/>
    <n v="1288"/>
    <x v="15"/>
    <x v="1"/>
    <n v="631"/>
    <x v="14"/>
    <x v="10"/>
    <x v="2"/>
  </r>
  <r>
    <x v="85"/>
    <n v="1468"/>
    <n v="1699"/>
    <x v="40"/>
    <x v="2"/>
    <n v="231"/>
    <x v="14"/>
    <x v="10"/>
    <x v="2"/>
  </r>
  <r>
    <x v="86"/>
    <n v="630"/>
    <n v="1100"/>
    <x v="37"/>
    <x v="1"/>
    <n v="470"/>
    <x v="14"/>
    <x v="10"/>
    <x v="2"/>
  </r>
  <r>
    <x v="87"/>
    <n v="850"/>
    <n v="1700"/>
    <x v="29"/>
    <x v="1"/>
    <n v="850"/>
    <x v="14"/>
    <x v="10"/>
    <x v="2"/>
  </r>
  <r>
    <x v="88"/>
    <n v="1300"/>
    <n v="2500"/>
    <x v="25"/>
    <x v="1"/>
    <n v="1200"/>
    <x v="14"/>
    <x v="10"/>
    <x v="2"/>
  </r>
  <r>
    <x v="89"/>
    <n v="105"/>
    <n v="200"/>
    <x v="25"/>
    <x v="1"/>
    <n v="95"/>
    <x v="14"/>
    <x v="10"/>
    <x v="2"/>
  </r>
  <r>
    <x v="90"/>
    <n v="899"/>
    <n v="1699"/>
    <x v="1"/>
    <x v="1"/>
    <n v="800"/>
    <x v="14"/>
    <x v="10"/>
    <x v="2"/>
  </r>
  <r>
    <x v="91"/>
    <n v="1200"/>
    <n v="2400"/>
    <x v="29"/>
    <x v="1"/>
    <n v="1200"/>
    <x v="14"/>
    <x v="10"/>
    <x v="2"/>
  </r>
  <r>
    <x v="92"/>
    <n v="1526"/>
    <n v="1660"/>
    <x v="42"/>
    <x v="2"/>
    <n v="134"/>
    <x v="14"/>
    <x v="10"/>
    <x v="2"/>
  </r>
  <r>
    <x v="93"/>
    <n v="1462"/>
    <n v="1499"/>
    <x v="30"/>
    <x v="2"/>
    <n v="37"/>
    <x v="14"/>
    <x v="10"/>
    <x v="2"/>
  </r>
  <r>
    <x v="94"/>
    <n v="248"/>
    <n v="486"/>
    <x v="15"/>
    <x v="1"/>
    <n v="238"/>
    <x v="14"/>
    <x v="10"/>
    <x v="2"/>
  </r>
  <r>
    <x v="95"/>
    <n v="3546"/>
    <n v="3699"/>
    <x v="38"/>
    <x v="2"/>
    <n v="153"/>
    <x v="14"/>
    <x v="10"/>
    <x v="2"/>
  </r>
  <r>
    <x v="96"/>
    <n v="525"/>
    <n v="1029"/>
    <x v="15"/>
    <x v="1"/>
    <n v="504"/>
    <x v="14"/>
    <x v="10"/>
    <x v="2"/>
  </r>
  <r>
    <x v="97"/>
    <n v="1080"/>
    <n v="1874"/>
    <x v="11"/>
    <x v="1"/>
    <n v="794"/>
    <x v="14"/>
    <x v="10"/>
    <x v="2"/>
  </r>
  <r>
    <x v="98"/>
    <n v="3640"/>
    <n v="4588"/>
    <x v="43"/>
    <x v="0"/>
    <n v="948"/>
    <x v="18"/>
    <x v="8"/>
    <x v="0"/>
  </r>
  <r>
    <x v="99"/>
    <n v="1420"/>
    <n v="2420"/>
    <x v="28"/>
    <x v="1"/>
    <n v="1000"/>
    <x v="14"/>
    <x v="10"/>
    <x v="2"/>
  </r>
  <r>
    <x v="100"/>
    <n v="1875"/>
    <n v="1899"/>
    <x v="44"/>
    <x v="2"/>
    <n v="24"/>
    <x v="14"/>
    <x v="10"/>
    <x v="2"/>
  </r>
  <r>
    <x v="101"/>
    <n v="198"/>
    <n v="260"/>
    <x v="6"/>
    <x v="0"/>
    <n v="62"/>
    <x v="14"/>
    <x v="10"/>
    <x v="2"/>
  </r>
  <r>
    <x v="102"/>
    <n v="1150"/>
    <n v="1737"/>
    <x v="10"/>
    <x v="0"/>
    <n v="587"/>
    <x v="14"/>
    <x v="10"/>
    <x v="2"/>
  </r>
  <r>
    <x v="103"/>
    <n v="1190"/>
    <n v="1810"/>
    <x v="10"/>
    <x v="0"/>
    <n v="620"/>
    <x v="14"/>
    <x v="10"/>
    <x v="2"/>
  </r>
  <r>
    <x v="104"/>
    <n v="1658"/>
    <n v="1699"/>
    <x v="30"/>
    <x v="2"/>
    <n v="41"/>
    <x v="14"/>
    <x v="10"/>
    <x v="2"/>
  </r>
  <r>
    <x v="105"/>
    <n v="1768"/>
    <n v="1799"/>
    <x v="30"/>
    <x v="2"/>
    <n v="31"/>
    <x v="14"/>
    <x v="10"/>
    <x v="2"/>
  </r>
  <r>
    <x v="106"/>
    <n v="199"/>
    <n v="553"/>
    <x v="45"/>
    <x v="1"/>
    <n v="354"/>
    <x v="14"/>
    <x v="10"/>
    <x v="2"/>
  </r>
  <r>
    <x v="107"/>
    <n v="450"/>
    <n v="900"/>
    <x v="29"/>
    <x v="1"/>
    <n v="450"/>
    <x v="18"/>
    <x v="22"/>
    <x v="3"/>
  </r>
  <r>
    <x v="108"/>
    <n v="169"/>
    <n v="320"/>
    <x v="1"/>
    <x v="1"/>
    <n v="151"/>
    <x v="14"/>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7487FF-B189-413F-BAA6-BEFD9770457B}"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iscount %">
  <location ref="A3:B10" firstHeaderRow="1" firstDataRow="1" firstDataCol="1"/>
  <pivotFields count="10">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axis="axisRow" numFmtId="2" showAll="0">
      <items count="10">
        <item x="0"/>
        <item x="1"/>
        <item x="2"/>
        <item x="3"/>
        <item x="4"/>
        <item x="5"/>
        <item x="6"/>
        <item x="7"/>
        <item x="8"/>
        <item t="default"/>
      </items>
    </pivotField>
    <pivotField showAll="0">
      <items count="4">
        <item x="1"/>
        <item x="2"/>
        <item x="0"/>
        <item t="default"/>
      </items>
    </pivotField>
    <pivotField numFmtId="1"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showAll="0">
      <items count="2">
        <item x="0"/>
        <item t="default"/>
      </items>
    </pivotField>
  </pivotFields>
  <rowFields count="1">
    <field x="3"/>
  </rowFields>
  <rowItems count="7">
    <i>
      <x v="1"/>
    </i>
    <i>
      <x v="2"/>
    </i>
    <i>
      <x v="3"/>
    </i>
    <i>
      <x v="4"/>
    </i>
    <i>
      <x v="5"/>
    </i>
    <i>
      <x v="6"/>
    </i>
    <i t="grand">
      <x/>
    </i>
  </rowItems>
  <colItems count="1">
    <i/>
  </colItems>
  <dataFields count="1">
    <dataField name="No. of Reviews" fld="6" subtotal="count" baseField="3"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5050D6-DAA7-4ECD-A0C1-60AEC4D95748}"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6" firstHeaderRow="1" firstDataRow="1" firstDataCol="1"/>
  <pivotFields count="10">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2" showAll="0"/>
    <pivotField showAll="0">
      <items count="4">
        <item x="1"/>
        <item x="2"/>
        <item x="0"/>
        <item t="default"/>
      </items>
    </pivotField>
    <pivotField numFmtId="1"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axis="axisRow"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showAll="0">
      <items count="2">
        <item x="0"/>
        <item t="default"/>
      </items>
    </pivotField>
  </pivotFields>
  <rowFields count="1">
    <field x="7"/>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Review"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8B811E-8987-40F7-9EBB-0F2609230298}"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6" firstHeaderRow="1" firstDataRow="1" firstDataCol="1"/>
  <pivotFields count="10">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2" showAll="0"/>
    <pivotField showAll="0">
      <items count="4">
        <item x="1"/>
        <item x="2"/>
        <item x="0"/>
        <item t="default"/>
      </items>
    </pivotField>
    <pivotField numFmtId="1"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axis="axisRow"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showAll="0" defaultSubtotal="0">
      <items count="1">
        <item x="0"/>
      </items>
    </pivotField>
  </pivotFields>
  <rowFields count="1">
    <field x="7"/>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Review" fld="6"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78CB04-ECF3-47B5-A231-258FED4DDA7D}"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0">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dataField="1" numFmtId="2" showAll="0">
      <items count="10">
        <item x="0"/>
        <item x="1"/>
        <item x="2"/>
        <item x="3"/>
        <item x="4"/>
        <item x="5"/>
        <item x="6"/>
        <item x="7"/>
        <item x="8"/>
        <item t="default"/>
      </items>
    </pivotField>
    <pivotField showAll="0">
      <items count="4">
        <item x="1"/>
        <item x="2"/>
        <item x="0"/>
        <item t="default"/>
      </items>
    </pivotField>
    <pivotField numFmtId="1" showAll="0"/>
    <pivotField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showAll="0" defaultSubtotal="0">
      <items count="1">
        <item x="0"/>
      </items>
    </pivotField>
  </pivotFields>
  <rowFields count="1">
    <field x="0"/>
  </rowFields>
  <rowItems count="12">
    <i>
      <x v="17"/>
    </i>
    <i>
      <x v="20"/>
    </i>
    <i>
      <x v="30"/>
    </i>
    <i>
      <x v="40"/>
    </i>
    <i>
      <x v="52"/>
    </i>
    <i>
      <x v="60"/>
    </i>
    <i>
      <x v="64"/>
    </i>
    <i>
      <x v="67"/>
    </i>
    <i>
      <x v="70"/>
    </i>
    <i>
      <x v="84"/>
    </i>
    <i>
      <x v="104"/>
    </i>
    <i t="grand">
      <x/>
    </i>
  </rowItems>
  <colItems count="1">
    <i/>
  </colItems>
  <dataFields count="1">
    <dataField name="Product of Discount" fld="3" subtotal="product" baseField="0" baseItem="0" numFmtId="2"/>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56F7A6-A68A-424A-9AC5-1FAB2837024B}"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0">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2" showAll="0"/>
    <pivotField showAll="0">
      <items count="4">
        <item x="1"/>
        <item x="2"/>
        <item x="0"/>
        <item t="default"/>
      </items>
    </pivotField>
    <pivotField numFmtId="1" showAll="0"/>
    <pivotField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items count="24">
        <item x="22"/>
        <item x="15"/>
        <item x="19"/>
        <item x="20"/>
        <item x="13"/>
        <item x="21"/>
        <item x="17"/>
        <item x="16"/>
        <item x="18"/>
        <item x="14"/>
        <item x="9"/>
        <item x="6"/>
        <item x="5"/>
        <item x="1"/>
        <item x="7"/>
        <item x="12"/>
        <item x="11"/>
        <item x="0"/>
        <item x="2"/>
        <item x="3"/>
        <item x="4"/>
        <item x="8"/>
        <item h="1" x="10"/>
        <item t="default"/>
      </items>
    </pivotField>
    <pivotField axis="axisRow" showAll="0">
      <items count="5">
        <item x="1"/>
        <item x="0"/>
        <item x="2"/>
        <item x="3"/>
        <item t="default"/>
      </items>
    </pivotField>
    <pivotField showAll="0" defaultSubtotal="0">
      <items count="1">
        <item x="0"/>
      </items>
    </pivotField>
  </pivotFields>
  <rowFields count="1">
    <field x="8"/>
  </rowFields>
  <rowItems count="4">
    <i>
      <x/>
    </i>
    <i>
      <x v="1"/>
    </i>
    <i>
      <x v="3"/>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179EFE-05D1-4E2F-9F5A-2177F1993FB4}"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0">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2" showAll="0"/>
    <pivotField showAll="0">
      <items count="4">
        <item x="1"/>
        <item x="2"/>
        <item x="0"/>
        <item t="default"/>
      </items>
    </pivotField>
    <pivotField numFmtId="1"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showAll="0" defaultSubtotal="0">
      <items count="1">
        <item x="0"/>
      </items>
    </pivotField>
  </pivotFields>
  <rowFields count="1">
    <field x="0"/>
  </rowFields>
  <rowItems count="11">
    <i>
      <x v="1"/>
    </i>
    <i>
      <x v="5"/>
    </i>
    <i>
      <x v="8"/>
    </i>
    <i>
      <x v="18"/>
    </i>
    <i>
      <x v="26"/>
    </i>
    <i>
      <x v="27"/>
    </i>
    <i>
      <x v="28"/>
    </i>
    <i>
      <x v="59"/>
    </i>
    <i>
      <x v="91"/>
    </i>
    <i>
      <x v="95"/>
    </i>
    <i t="grand">
      <x/>
    </i>
  </rowItems>
  <colItems count="1">
    <i/>
  </colItems>
  <dataFields count="1">
    <dataField name="Product of Review" fld="6" subtotal="product"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26E629-C51E-4DD6-AB19-826E890379D3}"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0">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showAll="0">
      <items count="4">
        <item x="1"/>
        <item x="2"/>
        <item x="0"/>
        <item t="default"/>
      </items>
    </pivotField>
    <pivotField numFmtId="1" showAll="0"/>
    <pivotField showAll="0">
      <items count="25">
        <item x="18"/>
        <item x="0"/>
        <item x="11"/>
        <item x="4"/>
        <item x="9"/>
        <item x="3"/>
        <item x="10"/>
        <item x="20"/>
        <item x="7"/>
        <item x="13"/>
        <item x="1"/>
        <item x="5"/>
        <item x="22"/>
        <item x="23"/>
        <item x="16"/>
        <item x="2"/>
        <item x="17"/>
        <item x="19"/>
        <item x="8"/>
        <item x="12"/>
        <item x="15"/>
        <item x="6"/>
        <item x="21"/>
        <item x="14"/>
        <item t="default"/>
      </items>
    </pivotField>
    <pivotField dataField="1"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showAll="0" defaultSubtotal="0">
      <items count="1">
        <item x="0"/>
      </items>
    </pivotField>
  </pivotFields>
  <rowFields count="1">
    <field x="0"/>
  </rowFields>
  <rowItems count="6">
    <i>
      <x v="104"/>
    </i>
    <i>
      <x v="30"/>
    </i>
    <i>
      <x v="58"/>
    </i>
    <i>
      <x v="41"/>
    </i>
    <i>
      <x v="35"/>
    </i>
    <i t="grand">
      <x/>
    </i>
  </rowItems>
  <colItems count="1">
    <i/>
  </colItems>
  <dataFields count="1">
    <dataField name="Product of Ratings" fld="7" subtotal="product" baseField="0" baseItem="0"/>
  </dataField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19900E-19F1-4377-8DEA-877437E98780}"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0">
    <pivotField axis="axisRow" showAll="0" measureFilter="1" sortType="descending">
      <items count="110">
        <item x="70"/>
        <item x="3"/>
        <item x="69"/>
        <item x="85"/>
        <item x="107"/>
        <item x="92"/>
        <item x="87"/>
        <item x="63"/>
        <item x="105"/>
        <item x="54"/>
        <item x="104"/>
        <item x="43"/>
        <item x="89"/>
        <item x="37"/>
        <item x="88"/>
        <item x="26"/>
        <item x="93"/>
        <item x="2"/>
        <item x="4"/>
        <item x="51"/>
        <item x="50"/>
        <item x="16"/>
        <item x="84"/>
        <item x="82"/>
        <item x="59"/>
        <item x="52"/>
        <item x="29"/>
        <item x="86"/>
        <item x="14"/>
        <item x="41"/>
        <item x="95"/>
        <item x="1"/>
        <item x="77"/>
        <item x="18"/>
        <item x="102"/>
        <item x="22"/>
        <item x="32"/>
        <item x="39"/>
        <item x="8"/>
        <item x="13"/>
        <item x="17"/>
        <item x="24"/>
        <item x="68"/>
        <item x="98"/>
        <item x="62"/>
        <item x="81"/>
        <item x="10"/>
        <item x="23"/>
        <item x="30"/>
        <item x="25"/>
        <item x="72"/>
        <item x="35"/>
        <item x="7"/>
        <item x="53"/>
        <item x="75"/>
        <item x="48"/>
        <item x="36"/>
        <item x="55"/>
        <item x="44"/>
        <item x="103"/>
        <item x="83"/>
        <item x="46"/>
        <item x="49"/>
        <item x="108"/>
        <item x="78"/>
        <item x="42"/>
        <item x="96"/>
        <item x="64"/>
        <item x="15"/>
        <item x="56"/>
        <item x="67"/>
        <item x="99"/>
        <item x="97"/>
        <item x="71"/>
        <item x="76"/>
        <item x="45"/>
        <item x="90"/>
        <item x="106"/>
        <item x="60"/>
        <item x="79"/>
        <item x="33"/>
        <item x="34"/>
        <item x="28"/>
        <item x="58"/>
        <item x="21"/>
        <item x="40"/>
        <item x="12"/>
        <item x="94"/>
        <item x="20"/>
        <item x="74"/>
        <item x="19"/>
        <item x="65"/>
        <item x="66"/>
        <item x="73"/>
        <item x="47"/>
        <item x="91"/>
        <item x="100"/>
        <item x="5"/>
        <item x="80"/>
        <item x="101"/>
        <item x="6"/>
        <item x="9"/>
        <item x="57"/>
        <item x="61"/>
        <item x="31"/>
        <item x="27"/>
        <item x="0"/>
        <item x="11"/>
        <item x="38"/>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showAll="0">
      <items count="4">
        <item x="1"/>
        <item x="2"/>
        <item x="0"/>
        <item t="default"/>
      </items>
    </pivotField>
    <pivotField numFmtId="1" showAll="0"/>
    <pivotField showAll="0">
      <items count="25">
        <item x="18"/>
        <item x="0"/>
        <item x="11"/>
        <item x="4"/>
        <item x="9"/>
        <item x="3"/>
        <item x="10"/>
        <item x="20"/>
        <item x="7"/>
        <item x="13"/>
        <item x="1"/>
        <item x="5"/>
        <item x="22"/>
        <item x="23"/>
        <item x="16"/>
        <item x="2"/>
        <item x="17"/>
        <item x="19"/>
        <item x="8"/>
        <item x="12"/>
        <item x="15"/>
        <item x="6"/>
        <item x="21"/>
        <item x="14"/>
        <item t="default"/>
      </items>
    </pivotField>
    <pivotField dataField="1"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showAll="0" defaultSubtotal="0">
      <items count="1">
        <item x="0"/>
      </items>
    </pivotField>
  </pivotFields>
  <rowFields count="1">
    <field x="0"/>
  </rowFields>
  <rowItems count="8">
    <i>
      <x v="21"/>
    </i>
    <i>
      <x v="64"/>
    </i>
    <i>
      <x v="56"/>
    </i>
    <i>
      <x v="40"/>
    </i>
    <i>
      <x v="68"/>
    </i>
    <i>
      <x v="43"/>
    </i>
    <i>
      <x v="51"/>
    </i>
    <i t="grand">
      <x/>
    </i>
  </rowItems>
  <colItems count="1">
    <i/>
  </colItems>
  <dataFields count="1">
    <dataField name="Product of Ratings" fld="7" subtotal="product"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AE43C5-7A9D-4F24-B1FA-4D41A67D27A3}" name="PivotTable1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0">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2" showAll="0"/>
    <pivotField axis="axisRow" showAll="0">
      <items count="4">
        <item x="1"/>
        <item x="2"/>
        <item x="0"/>
        <item t="default"/>
      </items>
    </pivotField>
    <pivotField numFmtId="1" showAll="0"/>
    <pivotField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showAll="0" defaultSubtotal="0">
      <items count="1">
        <item x="0"/>
      </items>
    </pivotField>
  </pivotFields>
  <rowFields count="1">
    <field x="4"/>
  </rowFields>
  <rowItems count="4">
    <i>
      <x/>
    </i>
    <i>
      <x v="1"/>
    </i>
    <i>
      <x v="2"/>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E42329-1802-4255-AB43-E04B84FF357F}" name="PivotTable1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F22" firstHeaderRow="1" firstDataRow="1" firstDataCol="1"/>
  <pivotFields count="10">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dataField="1" numFmtId="2" showAll="0">
      <items count="10">
        <item x="0"/>
        <item x="1"/>
        <item x="2"/>
        <item x="3"/>
        <item x="4"/>
        <item x="5"/>
        <item x="6"/>
        <item x="7"/>
        <item x="8"/>
        <item t="default"/>
      </items>
    </pivotField>
    <pivotField showAll="0">
      <items count="4">
        <item x="1"/>
        <item x="2"/>
        <item x="0"/>
        <item t="default"/>
      </items>
    </pivotField>
    <pivotField numFmtId="1" showAll="0"/>
    <pivotField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showAll="0" defaultSubtotal="0">
      <items count="1">
        <item x="0"/>
      </items>
    </pivotField>
  </pivotFields>
  <rowFields count="1">
    <field x="0"/>
  </rowFields>
  <rowItems count="12">
    <i>
      <x v="17"/>
    </i>
    <i>
      <x v="20"/>
    </i>
    <i>
      <x v="30"/>
    </i>
    <i>
      <x v="40"/>
    </i>
    <i>
      <x v="52"/>
    </i>
    <i>
      <x v="60"/>
    </i>
    <i>
      <x v="64"/>
    </i>
    <i>
      <x v="67"/>
    </i>
    <i>
      <x v="70"/>
    </i>
    <i>
      <x v="84"/>
    </i>
    <i>
      <x v="104"/>
    </i>
    <i t="grand">
      <x/>
    </i>
  </rowItems>
  <colItems count="1">
    <i/>
  </colItems>
  <dataFields count="1">
    <dataField name="Product of Discount" fld="3" subtotal="product" baseField="0" baseItem="0" numFmtId="2"/>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33996D-9361-43E6-BFB8-8C0AD4D881E2}"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C31" firstHeaderRow="1" firstDataRow="1" firstDataCol="1"/>
  <pivotFields count="10">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2" showAll="0"/>
    <pivotField showAll="0">
      <items count="4">
        <item x="1"/>
        <item x="2"/>
        <item x="0"/>
        <item t="default"/>
      </items>
    </pivotField>
    <pivotField numFmtId="1"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showAll="0" defaultSubtotal="0">
      <items count="1">
        <item x="0"/>
      </items>
    </pivotField>
  </pivotFields>
  <rowFields count="1">
    <field x="0"/>
  </rowFields>
  <rowItems count="11">
    <i>
      <x v="1"/>
    </i>
    <i>
      <x v="5"/>
    </i>
    <i>
      <x v="8"/>
    </i>
    <i>
      <x v="18"/>
    </i>
    <i>
      <x v="26"/>
    </i>
    <i>
      <x v="27"/>
    </i>
    <i>
      <x v="28"/>
    </i>
    <i>
      <x v="59"/>
    </i>
    <i>
      <x v="91"/>
    </i>
    <i>
      <x v="95"/>
    </i>
    <i t="grand">
      <x/>
    </i>
  </rowItems>
  <colItems count="1">
    <i/>
  </colItems>
  <dataFields count="1">
    <dataField name="Product of Review" fld="6" subtotal="product"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4AFAE2-8DF2-4825-9D4F-7B1D01506766}" name="PivotTable9" cacheId="2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0:C18" firstHeaderRow="1" firstDataRow="1" firstDataCol="1"/>
  <pivotFields count="10">
    <pivotField axis="axisRow" showAll="0" measureFilter="1" sortType="descending">
      <items count="110">
        <item x="70"/>
        <item x="3"/>
        <item x="69"/>
        <item x="85"/>
        <item x="107"/>
        <item x="92"/>
        <item x="87"/>
        <item x="63"/>
        <item x="105"/>
        <item x="54"/>
        <item x="104"/>
        <item x="43"/>
        <item x="89"/>
        <item x="37"/>
        <item x="88"/>
        <item x="26"/>
        <item x="93"/>
        <item x="2"/>
        <item x="4"/>
        <item x="51"/>
        <item x="50"/>
        <item x="16"/>
        <item x="84"/>
        <item x="82"/>
        <item x="59"/>
        <item x="52"/>
        <item x="29"/>
        <item x="86"/>
        <item x="14"/>
        <item x="41"/>
        <item x="95"/>
        <item x="1"/>
        <item x="77"/>
        <item x="18"/>
        <item x="102"/>
        <item x="22"/>
        <item x="32"/>
        <item x="39"/>
        <item x="8"/>
        <item x="13"/>
        <item x="17"/>
        <item x="24"/>
        <item x="68"/>
        <item x="98"/>
        <item x="62"/>
        <item x="81"/>
        <item x="10"/>
        <item x="23"/>
        <item x="30"/>
        <item x="25"/>
        <item x="72"/>
        <item x="35"/>
        <item x="7"/>
        <item x="53"/>
        <item x="75"/>
        <item x="48"/>
        <item x="36"/>
        <item x="55"/>
        <item x="44"/>
        <item x="103"/>
        <item x="83"/>
        <item x="46"/>
        <item x="49"/>
        <item x="108"/>
        <item x="78"/>
        <item x="42"/>
        <item x="96"/>
        <item x="64"/>
        <item x="15"/>
        <item x="56"/>
        <item x="67"/>
        <item x="99"/>
        <item x="97"/>
        <item x="71"/>
        <item x="76"/>
        <item x="45"/>
        <item x="90"/>
        <item x="106"/>
        <item x="60"/>
        <item x="79"/>
        <item x="33"/>
        <item x="34"/>
        <item x="28"/>
        <item x="58"/>
        <item x="21"/>
        <item x="40"/>
        <item x="12"/>
        <item x="94"/>
        <item x="20"/>
        <item x="74"/>
        <item x="19"/>
        <item x="65"/>
        <item x="66"/>
        <item x="73"/>
        <item x="47"/>
        <item x="91"/>
        <item x="100"/>
        <item x="5"/>
        <item x="80"/>
        <item x="101"/>
        <item x="6"/>
        <item x="9"/>
        <item x="57"/>
        <item x="61"/>
        <item x="31"/>
        <item x="27"/>
        <item x="0"/>
        <item x="11"/>
        <item x="38"/>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showAll="0">
      <items count="4">
        <item x="1"/>
        <item x="2"/>
        <item x="0"/>
        <item t="default"/>
      </items>
    </pivotField>
    <pivotField numFmtId="1" showAll="0"/>
    <pivotField showAll="0">
      <items count="25">
        <item x="18"/>
        <item x="0"/>
        <item x="11"/>
        <item x="4"/>
        <item x="9"/>
        <item x="3"/>
        <item x="10"/>
        <item x="20"/>
        <item x="7"/>
        <item x="13"/>
        <item x="1"/>
        <item x="5"/>
        <item x="22"/>
        <item x="23"/>
        <item x="16"/>
        <item x="2"/>
        <item x="17"/>
        <item x="19"/>
        <item x="8"/>
        <item x="12"/>
        <item x="15"/>
        <item x="6"/>
        <item x="21"/>
        <item x="14"/>
        <item t="default"/>
      </items>
    </pivotField>
    <pivotField dataField="1"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2"/>
        <item x="3"/>
        <item t="default"/>
      </items>
    </pivotField>
    <pivotField showAll="0" defaultSubtotal="0">
      <items count="1">
        <item x="0"/>
      </items>
    </pivotField>
  </pivotFields>
  <rowFields count="1">
    <field x="0"/>
  </rowFields>
  <rowItems count="8">
    <i>
      <x v="21"/>
    </i>
    <i>
      <x v="64"/>
    </i>
    <i>
      <x v="56"/>
    </i>
    <i>
      <x v="40"/>
    </i>
    <i>
      <x v="68"/>
    </i>
    <i>
      <x v="43"/>
    </i>
    <i>
      <x v="51"/>
    </i>
    <i t="grand">
      <x/>
    </i>
  </rowItems>
  <colItems count="1">
    <i/>
  </colItems>
  <dataFields count="1">
    <dataField name="Product of Ratings" fld="7" subtotal="product"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AA2A087-96CC-4D7B-8B1B-381B236DACC3}" sourceName="Product">
  <pivotTables>
    <pivotTable tabId="2" name="PivotTable1"/>
    <pivotTable tabId="11" name="PivotTable11"/>
    <pivotTable tabId="11" name="PivotTable12"/>
    <pivotTable tabId="11" name="PivotTable9"/>
    <pivotTable tabId="12" name="PivotTable13"/>
    <pivotTable tabId="13" name="PivotTable14"/>
    <pivotTable tabId="5" name="PivotTable4"/>
    <pivotTable tabId="3" name="PivotTable2"/>
    <pivotTable tabId="8" name="PivotTable7"/>
    <pivotTable tabId="9" name="PivotTable8"/>
    <pivotTable tabId="6" name="PivotTable5"/>
    <pivotTable tabId="7" name="PivotTable6"/>
  </pivotTables>
  <data>
    <tabular pivotCacheId="2088107369">
      <items count="109">
        <i x="38" s="1"/>
        <i x="11" s="1"/>
        <i x="0" s="1"/>
        <i x="27" s="1"/>
        <i x="31" s="1"/>
        <i x="61" s="1"/>
        <i x="9" s="1"/>
        <i x="6" s="1"/>
        <i x="5" s="1"/>
        <i x="66" s="1"/>
        <i x="65" s="1"/>
        <i x="19" s="1"/>
        <i x="20" s="1"/>
        <i x="12" s="1"/>
        <i x="58" s="1"/>
        <i x="28" s="1"/>
        <i x="34" s="1"/>
        <i x="33" s="1"/>
        <i x="60" s="1"/>
        <i x="71" s="1"/>
        <i x="67" s="1"/>
        <i x="15" s="1"/>
        <i x="64" s="1"/>
        <i x="78" s="1"/>
        <i x="36" s="1"/>
        <i x="7" s="1"/>
        <i x="35" s="1"/>
        <i x="72" s="1"/>
        <i x="25" s="1"/>
        <i x="30" s="1"/>
        <i x="23" s="1"/>
        <i x="10" s="1"/>
        <i x="81" s="1"/>
        <i x="62" s="1"/>
        <i x="98" s="1"/>
        <i x="68" s="1"/>
        <i x="24" s="1"/>
        <i x="17" s="1"/>
        <i x="13" s="1"/>
        <i x="8" s="1"/>
        <i x="32" s="1"/>
        <i x="22" s="1"/>
        <i x="18" s="1"/>
        <i x="77" s="1"/>
        <i x="1" s="1"/>
        <i x="14" s="1"/>
        <i x="59" s="1"/>
        <i x="16" s="1"/>
        <i x="4" s="1"/>
        <i x="2" s="1"/>
        <i x="26" s="1"/>
        <i x="37" s="1"/>
        <i x="63" s="1"/>
        <i x="107" s="1"/>
        <i x="69" s="1"/>
        <i x="3" s="1"/>
        <i x="70" s="1"/>
        <i x="57" s="1" nd="1"/>
        <i x="101" s="1" nd="1"/>
        <i x="80" s="1" nd="1"/>
        <i x="100" s="1" nd="1"/>
        <i x="91" s="1" nd="1"/>
        <i x="47" s="1" nd="1"/>
        <i x="73" s="1" nd="1"/>
        <i x="74" s="1" nd="1"/>
        <i x="94" s="1" nd="1"/>
        <i x="40" s="1" nd="1"/>
        <i x="21" s="1" nd="1"/>
        <i x="79" s="1" nd="1"/>
        <i x="106" s="1" nd="1"/>
        <i x="90" s="1" nd="1"/>
        <i x="45" s="1" nd="1"/>
        <i x="76" s="1" nd="1"/>
        <i x="97" s="1" nd="1"/>
        <i x="99" s="1" nd="1"/>
        <i x="56" s="1" nd="1"/>
        <i x="96" s="1" nd="1"/>
        <i x="42" s="1" nd="1"/>
        <i x="108" s="1" nd="1"/>
        <i x="49" s="1" nd="1"/>
        <i x="46" s="1" nd="1"/>
        <i x="83" s="1" nd="1"/>
        <i x="103" s="1" nd="1"/>
        <i x="44" s="1" nd="1"/>
        <i x="55" s="1" nd="1"/>
        <i x="48" s="1" nd="1"/>
        <i x="75" s="1" nd="1"/>
        <i x="53" s="1" nd="1"/>
        <i x="39" s="1" nd="1"/>
        <i x="102" s="1" nd="1"/>
        <i x="95" s="1" nd="1"/>
        <i x="41" s="1" nd="1"/>
        <i x="86" s="1" nd="1"/>
        <i x="29" s="1" nd="1"/>
        <i x="52" s="1" nd="1"/>
        <i x="82" s="1" nd="1"/>
        <i x="84" s="1" nd="1"/>
        <i x="50" s="1" nd="1"/>
        <i x="51" s="1" nd="1"/>
        <i x="93" s="1" nd="1"/>
        <i x="88" s="1" nd="1"/>
        <i x="89" s="1" nd="1"/>
        <i x="43" s="1" nd="1"/>
        <i x="104" s="1" nd="1"/>
        <i x="54" s="1" nd="1"/>
        <i x="105" s="1" nd="1"/>
        <i x="87" s="1" nd="1"/>
        <i x="92" s="1" nd="1"/>
        <i x="8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7990A5DB-43F8-4B63-841F-785760C2298E}" sourceName="Discount Category">
  <pivotTables>
    <pivotTable tabId="2" name="PivotTable1"/>
    <pivotTable tabId="11" name="PivotTable11"/>
    <pivotTable tabId="11" name="PivotTable12"/>
    <pivotTable tabId="11" name="PivotTable9"/>
    <pivotTable tabId="12" name="PivotTable13"/>
    <pivotTable tabId="13" name="PivotTable14"/>
    <pivotTable tabId="5" name="PivotTable4"/>
    <pivotTable tabId="3" name="PivotTable2"/>
    <pivotTable tabId="8" name="PivotTable7"/>
    <pivotTable tabId="9" name="PivotTable8"/>
    <pivotTable tabId="6" name="PivotTable5"/>
    <pivotTable tabId="7" name="PivotTable6"/>
  </pivotTables>
  <data>
    <tabular pivotCacheId="208810736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5EEE9A17-205A-47B4-865D-94849D6945FB}" sourceName="Review">
  <pivotTables>
    <pivotTable tabId="2" name="PivotTable1"/>
    <pivotTable tabId="11" name="PivotTable11"/>
    <pivotTable tabId="11" name="PivotTable12"/>
    <pivotTable tabId="11" name="PivotTable9"/>
    <pivotTable tabId="12" name="PivotTable13"/>
    <pivotTable tabId="13" name="PivotTable14"/>
    <pivotTable tabId="5" name="PivotTable4"/>
    <pivotTable tabId="3" name="PivotTable2"/>
    <pivotTable tabId="8" name="PivotTable7"/>
    <pivotTable tabId="9" name="PivotTable8"/>
    <pivotTable tabId="6" name="PivotTable5"/>
    <pivotTable tabId="7" name="PivotTable6"/>
  </pivotTables>
  <data>
    <tabular pivotCacheId="2088107369">
      <items count="24">
        <i x="18" s="1"/>
        <i x="0" s="1"/>
        <i x="11" s="1"/>
        <i x="4" s="1"/>
        <i x="9" s="1"/>
        <i x="3" s="1"/>
        <i x="10" s="1"/>
        <i x="20" s="1"/>
        <i x="7" s="1"/>
        <i x="13" s="1"/>
        <i x="1" s="1"/>
        <i x="5" s="1"/>
        <i x="22" s="1"/>
        <i x="23" s="1"/>
        <i x="16" s="1"/>
        <i x="2" s="1"/>
        <i x="17" s="1"/>
        <i x="19" s="1"/>
        <i x="8" s="1"/>
        <i x="12" s="1"/>
        <i x="15" s="1"/>
        <i x="6" s="1"/>
        <i x="21" s="1"/>
        <i x="1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 xr10:uid="{B84D04E2-3327-4A60-9BCF-D6AD9E750E1C}" sourceName="Ratings">
  <pivotTables>
    <pivotTable tabId="2" name="PivotTable1"/>
    <pivotTable tabId="11" name="PivotTable11"/>
    <pivotTable tabId="11" name="PivotTable12"/>
    <pivotTable tabId="11" name="PivotTable9"/>
    <pivotTable tabId="12" name="PivotTable13"/>
    <pivotTable tabId="13" name="PivotTable14"/>
    <pivotTable tabId="5" name="PivotTable4"/>
    <pivotTable tabId="3" name="PivotTable2"/>
    <pivotTable tabId="8" name="PivotTable7"/>
    <pivotTable tabId="9" name="PivotTable8"/>
    <pivotTable tabId="6" name="PivotTable5"/>
    <pivotTable tabId="7" name="PivotTable6"/>
  </pivotTables>
  <data>
    <tabular pivotCacheId="2088107369">
      <items count="23">
        <i x="22" s="1"/>
        <i x="15" s="1"/>
        <i x="19" s="1"/>
        <i x="20" s="1"/>
        <i x="13" s="1"/>
        <i x="21" s="1"/>
        <i x="17" s="1"/>
        <i x="16" s="1"/>
        <i x="18" s="1"/>
        <i x="14" s="1"/>
        <i x="9" s="1"/>
        <i x="6" s="1"/>
        <i x="5" s="1"/>
        <i x="1" s="1"/>
        <i x="7" s="1"/>
        <i x="12" s="1"/>
        <i x="11" s="1"/>
        <i x="0" s="1"/>
        <i x="2" s="1"/>
        <i x="3" s="1"/>
        <i x="4" s="1"/>
        <i x="8" s="1"/>
        <i x="1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AC7C1978-7DE6-445C-8A42-2447C7C2D56A}" sourceName="Rating Category">
  <pivotTables>
    <pivotTable tabId="2" name="PivotTable1"/>
    <pivotTable tabId="11" name="PivotTable11"/>
    <pivotTable tabId="11" name="PivotTable12"/>
    <pivotTable tabId="11" name="PivotTable9"/>
    <pivotTable tabId="12" name="PivotTable13"/>
    <pivotTable tabId="13" name="PivotTable14"/>
    <pivotTable tabId="5" name="PivotTable4"/>
    <pivotTable tabId="3" name="PivotTable2"/>
    <pivotTable tabId="8" name="PivotTable7"/>
    <pivotTable tabId="9" name="PivotTable8"/>
    <pivotTable tabId="6" name="PivotTable5"/>
    <pivotTable tabId="7" name="PivotTable6"/>
  </pivotTables>
  <data>
    <tabular pivotCacheId="2088107369">
      <items count="4">
        <i x="1" s="1"/>
        <i x="0" s="1"/>
        <i x="3"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390B01C-84B8-45E5-AF1F-E99923F66609}" cache="Slicer_Product" caption="Product" startItem="28" rowHeight="251883"/>
  <slicer name="Discount Category" xr10:uid="{B55AFC3E-399E-410B-906F-4F7C9653ABAC}" cache="Slicer_Discount_Category" caption="Discount Category" rowHeight="251883"/>
  <slicer name="Review" xr10:uid="{D52FC2D6-0C80-45E2-95D3-9E6C600ED705}" cache="Slicer_Review" caption="Review" rowHeight="251883"/>
  <slicer name="Ratings" xr10:uid="{5AE05AE6-78EF-42AA-98B1-C5EF2C5E248D}" cache="Slicer_Ratings" caption="Ratings" rowHeight="251883"/>
  <slicer name="Rating Category" xr10:uid="{9254AA0F-ED00-491F-8C79-6EC0CC08F882}" cache="Slicer_Rating_Category" caption="Rating 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139F26D-2583-413D-8078-A14336D86CBD}" cache="Slicer_Product" caption="Product" rowHeight="251883"/>
  <slicer name="Discount Category 1" xr10:uid="{C6CAF82A-33D9-47AD-8DC1-42F53E0570F6}" cache="Slicer_Discount_Category" caption="Discount Category" rowHeight="251883"/>
  <slicer name="Rating Category 1" xr10:uid="{B6D7A8CD-5830-4336-85E2-A7E58CD9947C}" cache="Slicer_Rating_Category" caption="Rating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6E4449-9313-48F2-8DD7-2F89610313DF}" name="Table3" displayName="Table3" ref="A1:I114" totalsRowCount="1" headerRowDxfId="8">
  <autoFilter ref="A1:I113" xr:uid="{576E4449-9313-48F2-8DD7-2F89610313DF}"/>
  <tableColumns count="9">
    <tableColumn id="1" xr3:uid="{9B993868-91A3-4E73-A016-64DFE3817F75}" name="Product" totalsRowLabel="AVERAGES" dataDxfId="16" totalsRowDxfId="7"/>
    <tableColumn id="2" xr3:uid="{47B87F48-344A-4288-B0DE-F5789E9D806F}" name="Current price" totalsRowFunction="average" dataDxfId="15" totalsRowDxfId="6"/>
    <tableColumn id="3" xr3:uid="{ADADF9AA-F4F0-4525-A4A0-7B6246D3EF97}" name="old price" totalsRowFunction="average" dataDxfId="14" totalsRowDxfId="5"/>
    <tableColumn id="4" xr3:uid="{25D92DCC-F895-44BB-9105-543E4320409A}" name="Discount" totalsRowFunction="average" dataDxfId="13" totalsRowDxfId="4"/>
    <tableColumn id="5" xr3:uid="{9D0A6D85-8AE9-4304-909F-D6B40C113304}" name="Discount Category" dataDxfId="12" totalsRowDxfId="0">
      <calculatedColumnFormula array="1">_xlfn.IFS(D2&lt;0.2,"Low",D2&lt;=0.4,"Medium",TRUE,"High")</calculatedColumnFormula>
    </tableColumn>
    <tableColumn id="6" xr3:uid="{C75BB17E-4358-42C0-B5BF-E79A484BA6EF}" name="Discount Amount" dataDxfId="11" totalsRowDxfId="3">
      <calculatedColumnFormula>C2-B2</calculatedColumnFormula>
    </tableColumn>
    <tableColumn id="7" xr3:uid="{D8A59494-7548-4214-A1D5-98FA81D0CD55}" name="Review" dataDxfId="10" totalsRowDxfId="2"/>
    <tableColumn id="8" xr3:uid="{08C92A4C-3D1D-4E89-BB0B-D17D40530F8D}" name="Ratings" totalsRowFunction="average" dataDxfId="9" totalsRowDxfId="1"/>
    <tableColumn id="9" xr3:uid="{9411A136-B17E-485D-A46C-11BF27AC7A9D}" name="Rating Category">
      <calculatedColumnFormula array="1">_xlfn.IFS(H2&lt;3,"Poor",H2&lt;=4.4,"Average",H2&lt;=5,"Excellent",TRUE,"N/A")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07/relationships/slicer" Target="../slicers/slicer2.xm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A4A4B-7BDD-4494-9328-7880E4E8C31F}">
  <dimension ref="A3:B10"/>
  <sheetViews>
    <sheetView workbookViewId="0">
      <selection activeCell="B6" sqref="B6"/>
    </sheetView>
  </sheetViews>
  <sheetFormatPr defaultRowHeight="14.5" x14ac:dyDescent="0.35"/>
  <cols>
    <col min="1" max="1" width="12.54296875" bestFit="1" customWidth="1"/>
    <col min="2" max="2" width="13" bestFit="1" customWidth="1"/>
  </cols>
  <sheetData>
    <row r="3" spans="1:2" x14ac:dyDescent="0.35">
      <c r="A3" s="14" t="s">
        <v>141</v>
      </c>
      <c r="B3" t="s">
        <v>142</v>
      </c>
    </row>
    <row r="4" spans="1:2" x14ac:dyDescent="0.35">
      <c r="A4" s="17" t="s">
        <v>135</v>
      </c>
      <c r="B4" s="16">
        <v>1</v>
      </c>
    </row>
    <row r="5" spans="1:2" x14ac:dyDescent="0.35">
      <c r="A5" s="17" t="s">
        <v>136</v>
      </c>
      <c r="B5" s="16">
        <v>3</v>
      </c>
    </row>
    <row r="6" spans="1:2" x14ac:dyDescent="0.35">
      <c r="A6" s="17" t="s">
        <v>137</v>
      </c>
      <c r="B6" s="16">
        <v>10</v>
      </c>
    </row>
    <row r="7" spans="1:2" x14ac:dyDescent="0.35">
      <c r="A7" s="17" t="s">
        <v>138</v>
      </c>
      <c r="B7" s="16">
        <v>12</v>
      </c>
    </row>
    <row r="8" spans="1:2" x14ac:dyDescent="0.35">
      <c r="A8" s="17" t="s">
        <v>139</v>
      </c>
      <c r="B8" s="16">
        <v>20</v>
      </c>
    </row>
    <row r="9" spans="1:2" x14ac:dyDescent="0.35">
      <c r="A9" s="17" t="s">
        <v>140</v>
      </c>
      <c r="B9" s="16">
        <v>11</v>
      </c>
    </row>
    <row r="10" spans="1:2" x14ac:dyDescent="0.35">
      <c r="A10" s="17" t="s">
        <v>133</v>
      </c>
      <c r="B10" s="16">
        <v>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29D68-BC5E-4889-AA7B-7D315F852165}">
  <dimension ref="A3:B26"/>
  <sheetViews>
    <sheetView workbookViewId="0">
      <selection activeCell="B10" sqref="B10"/>
    </sheetView>
  </sheetViews>
  <sheetFormatPr defaultRowHeight="14.5" x14ac:dyDescent="0.35"/>
  <cols>
    <col min="1" max="1" width="12.453125" bestFit="1" customWidth="1"/>
    <col min="2" max="2" width="14.36328125" bestFit="1" customWidth="1"/>
  </cols>
  <sheetData>
    <row r="3" spans="1:2" x14ac:dyDescent="0.35">
      <c r="A3" s="14" t="s">
        <v>132</v>
      </c>
      <c r="B3" t="s">
        <v>134</v>
      </c>
    </row>
    <row r="4" spans="1:2" x14ac:dyDescent="0.35">
      <c r="A4" s="15">
        <v>2</v>
      </c>
      <c r="B4" s="16">
        <v>1</v>
      </c>
    </row>
    <row r="5" spans="1:2" x14ac:dyDescent="0.35">
      <c r="A5" s="15">
        <v>2.1</v>
      </c>
      <c r="B5" s="16">
        <v>2</v>
      </c>
    </row>
    <row r="6" spans="1:2" x14ac:dyDescent="0.35">
      <c r="A6" s="15">
        <v>2.2000000000000002</v>
      </c>
      <c r="B6" s="16">
        <v>2</v>
      </c>
    </row>
    <row r="7" spans="1:2" x14ac:dyDescent="0.35">
      <c r="A7" s="15">
        <v>2.2999999999999998</v>
      </c>
      <c r="B7" s="16">
        <v>2</v>
      </c>
    </row>
    <row r="8" spans="1:2" x14ac:dyDescent="0.35">
      <c r="A8" s="15">
        <v>2.5</v>
      </c>
      <c r="B8" s="16">
        <v>1</v>
      </c>
    </row>
    <row r="9" spans="1:2" x14ac:dyDescent="0.35">
      <c r="A9" s="15">
        <v>2.6</v>
      </c>
      <c r="B9" s="16">
        <v>1</v>
      </c>
    </row>
    <row r="10" spans="1:2" x14ac:dyDescent="0.35">
      <c r="A10" s="15">
        <v>2.7</v>
      </c>
      <c r="B10" s="16">
        <v>1</v>
      </c>
    </row>
    <row r="11" spans="1:2" x14ac:dyDescent="0.35">
      <c r="A11" s="15">
        <v>2.8</v>
      </c>
      <c r="B11" s="16">
        <v>1</v>
      </c>
    </row>
    <row r="12" spans="1:2" x14ac:dyDescent="0.35">
      <c r="A12" s="15">
        <v>2.9</v>
      </c>
      <c r="B12" s="16">
        <v>1</v>
      </c>
    </row>
    <row r="13" spans="1:2" x14ac:dyDescent="0.35">
      <c r="A13" s="15">
        <v>3</v>
      </c>
      <c r="B13" s="16">
        <v>5</v>
      </c>
    </row>
    <row r="14" spans="1:2" x14ac:dyDescent="0.35">
      <c r="A14" s="15">
        <v>3.3</v>
      </c>
      <c r="B14" s="16">
        <v>1</v>
      </c>
    </row>
    <row r="15" spans="1:2" x14ac:dyDescent="0.35">
      <c r="A15" s="15">
        <v>3.8</v>
      </c>
      <c r="B15" s="16">
        <v>3</v>
      </c>
    </row>
    <row r="16" spans="1:2" x14ac:dyDescent="0.35">
      <c r="A16" s="15">
        <v>4</v>
      </c>
      <c r="B16" s="16">
        <v>4</v>
      </c>
    </row>
    <row r="17" spans="1:2" x14ac:dyDescent="0.35">
      <c r="A17" s="15">
        <v>4.0999999999999996</v>
      </c>
      <c r="B17" s="16">
        <v>3</v>
      </c>
    </row>
    <row r="18" spans="1:2" x14ac:dyDescent="0.35">
      <c r="A18" s="15">
        <v>4.2</v>
      </c>
      <c r="B18" s="16">
        <v>1</v>
      </c>
    </row>
    <row r="19" spans="1:2" x14ac:dyDescent="0.35">
      <c r="A19" s="15">
        <v>4.3</v>
      </c>
      <c r="B19" s="16">
        <v>4</v>
      </c>
    </row>
    <row r="20" spans="1:2" x14ac:dyDescent="0.35">
      <c r="A20" s="15">
        <v>4.4000000000000004</v>
      </c>
      <c r="B20" s="16">
        <v>1</v>
      </c>
    </row>
    <row r="21" spans="1:2" x14ac:dyDescent="0.35">
      <c r="A21" s="15">
        <v>4.5</v>
      </c>
      <c r="B21" s="16">
        <v>4</v>
      </c>
    </row>
    <row r="22" spans="1:2" x14ac:dyDescent="0.35">
      <c r="A22" s="15">
        <v>4.5999999999999996</v>
      </c>
      <c r="B22" s="16">
        <v>5</v>
      </c>
    </row>
    <row r="23" spans="1:2" x14ac:dyDescent="0.35">
      <c r="A23" s="15">
        <v>4.7</v>
      </c>
      <c r="B23" s="16">
        <v>4</v>
      </c>
    </row>
    <row r="24" spans="1:2" x14ac:dyDescent="0.35">
      <c r="A24" s="15">
        <v>4.8</v>
      </c>
      <c r="B24" s="16">
        <v>3</v>
      </c>
    </row>
    <row r="25" spans="1:2" x14ac:dyDescent="0.35">
      <c r="A25" s="15">
        <v>5</v>
      </c>
      <c r="B25" s="16">
        <v>7</v>
      </c>
    </row>
    <row r="26" spans="1:2" x14ac:dyDescent="0.35">
      <c r="A26" s="15" t="s">
        <v>133</v>
      </c>
      <c r="B26" s="16">
        <v>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21DF-495F-4F13-AF01-1597AF3D20DE}">
  <dimension ref="A3:B26"/>
  <sheetViews>
    <sheetView workbookViewId="0">
      <selection activeCell="B26" sqref="B26"/>
    </sheetView>
  </sheetViews>
  <sheetFormatPr defaultRowHeight="14.5" x14ac:dyDescent="0.35"/>
  <cols>
    <col min="1" max="1" width="12.453125" bestFit="1" customWidth="1"/>
    <col min="2" max="2" width="14.36328125" bestFit="1" customWidth="1"/>
  </cols>
  <sheetData>
    <row r="3" spans="1:2" x14ac:dyDescent="0.35">
      <c r="A3" s="14" t="s">
        <v>132</v>
      </c>
      <c r="B3" t="s">
        <v>134</v>
      </c>
    </row>
    <row r="4" spans="1:2" x14ac:dyDescent="0.35">
      <c r="A4" s="15">
        <v>2</v>
      </c>
      <c r="B4" s="16">
        <v>1</v>
      </c>
    </row>
    <row r="5" spans="1:2" x14ac:dyDescent="0.35">
      <c r="A5" s="15">
        <v>2.1</v>
      </c>
      <c r="B5" s="16">
        <v>2</v>
      </c>
    </row>
    <row r="6" spans="1:2" x14ac:dyDescent="0.35">
      <c r="A6" s="15">
        <v>2.2000000000000002</v>
      </c>
      <c r="B6" s="16">
        <v>2</v>
      </c>
    </row>
    <row r="7" spans="1:2" x14ac:dyDescent="0.35">
      <c r="A7" s="15">
        <v>2.2999999999999998</v>
      </c>
      <c r="B7" s="16">
        <v>2</v>
      </c>
    </row>
    <row r="8" spans="1:2" x14ac:dyDescent="0.35">
      <c r="A8" s="15">
        <v>2.5</v>
      </c>
      <c r="B8" s="16">
        <v>1</v>
      </c>
    </row>
    <row r="9" spans="1:2" x14ac:dyDescent="0.35">
      <c r="A9" s="15">
        <v>2.6</v>
      </c>
      <c r="B9" s="16">
        <v>1</v>
      </c>
    </row>
    <row r="10" spans="1:2" x14ac:dyDescent="0.35">
      <c r="A10" s="15">
        <v>2.7</v>
      </c>
      <c r="B10" s="16">
        <v>1</v>
      </c>
    </row>
    <row r="11" spans="1:2" x14ac:dyDescent="0.35">
      <c r="A11" s="15">
        <v>2.8</v>
      </c>
      <c r="B11" s="16">
        <v>1</v>
      </c>
    </row>
    <row r="12" spans="1:2" x14ac:dyDescent="0.35">
      <c r="A12" s="15">
        <v>2.9</v>
      </c>
      <c r="B12" s="16">
        <v>1</v>
      </c>
    </row>
    <row r="13" spans="1:2" ht="15" customHeight="1" x14ac:dyDescent="0.35">
      <c r="A13" s="15">
        <v>3</v>
      </c>
      <c r="B13" s="16">
        <v>5</v>
      </c>
    </row>
    <row r="14" spans="1:2" x14ac:dyDescent="0.35">
      <c r="A14" s="15">
        <v>3.3</v>
      </c>
      <c r="B14" s="16">
        <v>1</v>
      </c>
    </row>
    <row r="15" spans="1:2" x14ac:dyDescent="0.35">
      <c r="A15" s="15">
        <v>3.8</v>
      </c>
      <c r="B15" s="16">
        <v>3</v>
      </c>
    </row>
    <row r="16" spans="1:2" x14ac:dyDescent="0.35">
      <c r="A16" s="15">
        <v>4</v>
      </c>
      <c r="B16" s="16">
        <v>4</v>
      </c>
    </row>
    <row r="17" spans="1:2" x14ac:dyDescent="0.35">
      <c r="A17" s="15">
        <v>4.0999999999999996</v>
      </c>
      <c r="B17" s="16">
        <v>3</v>
      </c>
    </row>
    <row r="18" spans="1:2" x14ac:dyDescent="0.35">
      <c r="A18" s="15">
        <v>4.2</v>
      </c>
      <c r="B18" s="16">
        <v>1</v>
      </c>
    </row>
    <row r="19" spans="1:2" x14ac:dyDescent="0.35">
      <c r="A19" s="15">
        <v>4.3</v>
      </c>
      <c r="B19" s="16">
        <v>4</v>
      </c>
    </row>
    <row r="20" spans="1:2" x14ac:dyDescent="0.35">
      <c r="A20" s="15">
        <v>4.4000000000000004</v>
      </c>
      <c r="B20" s="16">
        <v>1</v>
      </c>
    </row>
    <row r="21" spans="1:2" x14ac:dyDescent="0.35">
      <c r="A21" s="15">
        <v>4.5</v>
      </c>
      <c r="B21" s="16">
        <v>4</v>
      </c>
    </row>
    <row r="22" spans="1:2" x14ac:dyDescent="0.35">
      <c r="A22" s="15">
        <v>4.5999999999999996</v>
      </c>
      <c r="B22" s="16">
        <v>5</v>
      </c>
    </row>
    <row r="23" spans="1:2" x14ac:dyDescent="0.35">
      <c r="A23" s="15">
        <v>4.7</v>
      </c>
      <c r="B23" s="16">
        <v>4</v>
      </c>
    </row>
    <row r="24" spans="1:2" x14ac:dyDescent="0.35">
      <c r="A24" s="15">
        <v>4.8</v>
      </c>
      <c r="B24" s="16">
        <v>3</v>
      </c>
    </row>
    <row r="25" spans="1:2" x14ac:dyDescent="0.35">
      <c r="A25" s="15">
        <v>5</v>
      </c>
      <c r="B25" s="16">
        <v>7</v>
      </c>
    </row>
    <row r="26" spans="1:2" x14ac:dyDescent="0.35">
      <c r="A26" s="15" t="s">
        <v>133</v>
      </c>
      <c r="B26" s="16">
        <v>57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7A374-43B1-406B-9F66-0A99D28FE25C}">
  <dimension ref="A3:B15"/>
  <sheetViews>
    <sheetView workbookViewId="0">
      <selection activeCell="A12" sqref="A3:B14"/>
    </sheetView>
  </sheetViews>
  <sheetFormatPr defaultRowHeight="14.5" x14ac:dyDescent="0.35"/>
  <cols>
    <col min="1" max="1" width="66.1796875" bestFit="1" customWidth="1"/>
    <col min="2" max="2" width="17.453125" bestFit="1" customWidth="1"/>
  </cols>
  <sheetData>
    <row r="3" spans="1:2" x14ac:dyDescent="0.35">
      <c r="A3" s="14" t="s">
        <v>132</v>
      </c>
      <c r="B3" t="s">
        <v>143</v>
      </c>
    </row>
    <row r="4" spans="1:2" x14ac:dyDescent="0.35">
      <c r="A4" s="15" t="s">
        <v>70</v>
      </c>
      <c r="B4" s="11">
        <v>0.5</v>
      </c>
    </row>
    <row r="5" spans="1:2" x14ac:dyDescent="0.35">
      <c r="A5" s="15" t="s">
        <v>25</v>
      </c>
      <c r="B5" s="11">
        <v>0.53</v>
      </c>
    </row>
    <row r="6" spans="1:2" x14ac:dyDescent="0.35">
      <c r="A6" s="15" t="s">
        <v>65</v>
      </c>
      <c r="B6" s="11">
        <v>0.55000000000000004</v>
      </c>
    </row>
    <row r="7" spans="1:2" x14ac:dyDescent="0.35">
      <c r="A7" s="15" t="s">
        <v>20</v>
      </c>
      <c r="B7" s="11">
        <v>0.51</v>
      </c>
    </row>
    <row r="8" spans="1:2" x14ac:dyDescent="0.35">
      <c r="A8" s="15" t="s">
        <v>41</v>
      </c>
      <c r="B8" s="11">
        <v>0.53</v>
      </c>
    </row>
    <row r="9" spans="1:2" x14ac:dyDescent="0.35">
      <c r="A9" s="15" t="s">
        <v>35</v>
      </c>
      <c r="B9" s="11">
        <v>0.52</v>
      </c>
    </row>
    <row r="10" spans="1:2" x14ac:dyDescent="0.35">
      <c r="A10" s="15" t="s">
        <v>67</v>
      </c>
      <c r="B10" s="11">
        <v>0.52</v>
      </c>
    </row>
    <row r="11" spans="1:2" x14ac:dyDescent="0.35">
      <c r="A11" s="15" t="s">
        <v>29</v>
      </c>
      <c r="B11" s="11">
        <v>0.54</v>
      </c>
    </row>
    <row r="12" spans="1:2" x14ac:dyDescent="0.35">
      <c r="A12" s="15" t="s">
        <v>13</v>
      </c>
      <c r="B12" s="11">
        <v>0.55000000000000004</v>
      </c>
    </row>
    <row r="13" spans="1:2" x14ac:dyDescent="0.35">
      <c r="A13" s="15" t="s">
        <v>64</v>
      </c>
      <c r="B13" s="11">
        <v>0.54</v>
      </c>
    </row>
    <row r="14" spans="1:2" x14ac:dyDescent="0.35">
      <c r="A14" s="15" t="s">
        <v>112</v>
      </c>
      <c r="B14" s="11">
        <v>0.5</v>
      </c>
    </row>
    <row r="15" spans="1:2" x14ac:dyDescent="0.35">
      <c r="A15" s="15" t="s">
        <v>133</v>
      </c>
      <c r="B15" s="11">
        <v>8.5424315965560056E-4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DE72D-67B2-48EB-9EA1-41EAD19A74C3}">
  <dimension ref="A3:B7"/>
  <sheetViews>
    <sheetView workbookViewId="0">
      <selection activeCell="B8" sqref="B8"/>
    </sheetView>
  </sheetViews>
  <sheetFormatPr defaultRowHeight="14.5" x14ac:dyDescent="0.35"/>
  <cols>
    <col min="1" max="1" width="12.453125" bestFit="1" customWidth="1"/>
    <col min="2" max="2" width="14.90625" bestFit="1" customWidth="1"/>
  </cols>
  <sheetData>
    <row r="3" spans="1:2" x14ac:dyDescent="0.35">
      <c r="A3" s="14" t="s">
        <v>132</v>
      </c>
      <c r="B3" t="s">
        <v>146</v>
      </c>
    </row>
    <row r="4" spans="1:2" x14ac:dyDescent="0.35">
      <c r="A4" s="15" t="s">
        <v>130</v>
      </c>
      <c r="B4" s="16">
        <v>22</v>
      </c>
    </row>
    <row r="5" spans="1:2" x14ac:dyDescent="0.35">
      <c r="A5" s="15" t="s">
        <v>129</v>
      </c>
      <c r="B5" s="16">
        <v>23</v>
      </c>
    </row>
    <row r="6" spans="1:2" x14ac:dyDescent="0.35">
      <c r="A6" s="15" t="s">
        <v>131</v>
      </c>
      <c r="B6" s="16">
        <v>12</v>
      </c>
    </row>
    <row r="7" spans="1:2" x14ac:dyDescent="0.35">
      <c r="A7" s="15" t="s">
        <v>133</v>
      </c>
      <c r="B7" s="16">
        <v>57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078C-DD17-486D-BB80-28A12313DDCB}">
  <dimension ref="A3:B14"/>
  <sheetViews>
    <sheetView workbookViewId="0">
      <selection activeCell="A7" sqref="A3:B14"/>
    </sheetView>
  </sheetViews>
  <sheetFormatPr defaultRowHeight="14.5" x14ac:dyDescent="0.35"/>
  <cols>
    <col min="1" max="1" width="59.26953125" bestFit="1" customWidth="1"/>
    <col min="2" max="2" width="15.81640625" bestFit="1" customWidth="1"/>
  </cols>
  <sheetData>
    <row r="3" spans="1:2" x14ac:dyDescent="0.35">
      <c r="A3" s="14" t="s">
        <v>132</v>
      </c>
      <c r="B3" t="s">
        <v>144</v>
      </c>
    </row>
    <row r="4" spans="1:2" x14ac:dyDescent="0.35">
      <c r="A4" s="15" t="s">
        <v>16</v>
      </c>
      <c r="B4" s="16">
        <v>39</v>
      </c>
    </row>
    <row r="5" spans="1:2" x14ac:dyDescent="0.35">
      <c r="A5" s="15" t="s">
        <v>66</v>
      </c>
      <c r="B5" s="16">
        <v>69</v>
      </c>
    </row>
    <row r="6" spans="1:2" x14ac:dyDescent="0.35">
      <c r="A6" s="15" t="s">
        <v>11</v>
      </c>
      <c r="B6" s="16">
        <v>55</v>
      </c>
    </row>
    <row r="7" spans="1:2" x14ac:dyDescent="0.35">
      <c r="A7" s="15" t="s">
        <v>24</v>
      </c>
      <c r="B7" s="16">
        <v>44</v>
      </c>
    </row>
    <row r="8" spans="1:2" x14ac:dyDescent="0.35">
      <c r="A8" s="15" t="s">
        <v>33</v>
      </c>
      <c r="B8" s="16">
        <v>20</v>
      </c>
    </row>
    <row r="9" spans="1:2" x14ac:dyDescent="0.35">
      <c r="A9" s="15" t="s">
        <v>39</v>
      </c>
      <c r="B9" s="16">
        <v>32</v>
      </c>
    </row>
    <row r="10" spans="1:2" x14ac:dyDescent="0.35">
      <c r="A10" s="15" t="s">
        <v>38</v>
      </c>
      <c r="B10" s="16">
        <v>20</v>
      </c>
    </row>
    <row r="11" spans="1:2" x14ac:dyDescent="0.35">
      <c r="A11" s="15" t="s">
        <v>30</v>
      </c>
      <c r="B11" s="16">
        <v>49</v>
      </c>
    </row>
    <row r="12" spans="1:2" x14ac:dyDescent="0.35">
      <c r="A12" s="15" t="s">
        <v>7</v>
      </c>
      <c r="B12" s="16">
        <v>24</v>
      </c>
    </row>
    <row r="13" spans="1:2" x14ac:dyDescent="0.35">
      <c r="A13" s="15" t="s">
        <v>42</v>
      </c>
      <c r="B13" s="16">
        <v>36</v>
      </c>
    </row>
    <row r="14" spans="1:2" x14ac:dyDescent="0.35">
      <c r="A14" s="15" t="s">
        <v>133</v>
      </c>
      <c r="B14" s="16">
        <v>3528977227776000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73923-1E69-4DE7-98B3-8E287DD5C596}">
  <dimension ref="A3:B9"/>
  <sheetViews>
    <sheetView workbookViewId="0">
      <selection activeCell="A16" sqref="A3:B56"/>
    </sheetView>
  </sheetViews>
  <sheetFormatPr defaultRowHeight="14.5" x14ac:dyDescent="0.35"/>
  <cols>
    <col min="1" max="1" width="64.26953125" bestFit="1" customWidth="1"/>
    <col min="2" max="2" width="16.08984375" bestFit="1" customWidth="1"/>
  </cols>
  <sheetData>
    <row r="3" spans="1:2" x14ac:dyDescent="0.35">
      <c r="A3" s="14" t="s">
        <v>132</v>
      </c>
      <c r="B3" t="s">
        <v>145</v>
      </c>
    </row>
    <row r="4" spans="1:2" x14ac:dyDescent="0.35">
      <c r="A4" s="15" t="s">
        <v>112</v>
      </c>
      <c r="B4" s="16">
        <v>2</v>
      </c>
    </row>
    <row r="5" spans="1:2" x14ac:dyDescent="0.35">
      <c r="A5" s="15" t="s">
        <v>65</v>
      </c>
      <c r="B5" s="16">
        <v>2.1</v>
      </c>
    </row>
    <row r="6" spans="1:2" x14ac:dyDescent="0.35">
      <c r="A6" s="15" t="s">
        <v>77</v>
      </c>
      <c r="B6" s="16">
        <v>2.1</v>
      </c>
    </row>
    <row r="7" spans="1:2" x14ac:dyDescent="0.35">
      <c r="A7" s="15" t="s">
        <v>69</v>
      </c>
      <c r="B7" s="16">
        <v>2.2000000000000002</v>
      </c>
    </row>
    <row r="8" spans="1:2" x14ac:dyDescent="0.35">
      <c r="A8" s="15" t="s">
        <v>76</v>
      </c>
      <c r="B8" s="16">
        <v>2.2000000000000002</v>
      </c>
    </row>
    <row r="9" spans="1:2" x14ac:dyDescent="0.35">
      <c r="A9" s="15" t="s">
        <v>133</v>
      </c>
      <c r="B9" s="16">
        <v>42.688800000000015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39DCF-A5F4-48DA-A45B-312B7F4DC981}">
  <dimension ref="A3:B11"/>
  <sheetViews>
    <sheetView workbookViewId="0">
      <selection activeCell="B9" sqref="A3:B11"/>
    </sheetView>
  </sheetViews>
  <sheetFormatPr defaultRowHeight="14.5" x14ac:dyDescent="0.35"/>
  <cols>
    <col min="1" max="1" width="62.7265625" bestFit="1" customWidth="1"/>
    <col min="2" max="2" width="16.08984375" bestFit="1" customWidth="1"/>
  </cols>
  <sheetData>
    <row r="3" spans="1:2" x14ac:dyDescent="0.35">
      <c r="A3" s="14" t="s">
        <v>132</v>
      </c>
      <c r="B3" t="s">
        <v>145</v>
      </c>
    </row>
    <row r="4" spans="1:2" x14ac:dyDescent="0.35">
      <c r="A4" s="15" t="s">
        <v>21</v>
      </c>
      <c r="B4" s="16">
        <v>5</v>
      </c>
    </row>
    <row r="5" spans="1:2" x14ac:dyDescent="0.35">
      <c r="A5" s="15" t="s">
        <v>83</v>
      </c>
      <c r="B5" s="16">
        <v>5</v>
      </c>
    </row>
    <row r="6" spans="1:2" x14ac:dyDescent="0.35">
      <c r="A6" s="15" t="s">
        <v>41</v>
      </c>
      <c r="B6" s="16">
        <v>5</v>
      </c>
    </row>
    <row r="7" spans="1:2" x14ac:dyDescent="0.35">
      <c r="A7" s="15" t="s">
        <v>22</v>
      </c>
      <c r="B7" s="16">
        <v>5</v>
      </c>
    </row>
    <row r="8" spans="1:2" x14ac:dyDescent="0.35">
      <c r="A8" s="15" t="s">
        <v>20</v>
      </c>
      <c r="B8" s="16">
        <v>5</v>
      </c>
    </row>
    <row r="9" spans="1:2" x14ac:dyDescent="0.35">
      <c r="A9" s="15" t="s">
        <v>103</v>
      </c>
      <c r="B9" s="16">
        <v>5</v>
      </c>
    </row>
    <row r="10" spans="1:2" x14ac:dyDescent="0.35">
      <c r="A10" s="15" t="s">
        <v>40</v>
      </c>
      <c r="B10" s="16">
        <v>5</v>
      </c>
    </row>
    <row r="11" spans="1:2" x14ac:dyDescent="0.35">
      <c r="A11" s="15" t="s">
        <v>133</v>
      </c>
      <c r="B11" s="16">
        <v>78125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89826-8B1B-4DA1-A41A-8B4E8295805A}">
  <dimension ref="A3:B7"/>
  <sheetViews>
    <sheetView workbookViewId="0">
      <selection activeCell="B5" sqref="B5"/>
    </sheetView>
  </sheetViews>
  <sheetFormatPr defaultRowHeight="14.5" x14ac:dyDescent="0.35"/>
  <cols>
    <col min="1" max="1" width="12.453125" bestFit="1" customWidth="1"/>
    <col min="2" max="2" width="14.90625" bestFit="1" customWidth="1"/>
  </cols>
  <sheetData>
    <row r="3" spans="1:2" x14ac:dyDescent="0.35">
      <c r="A3" s="14" t="s">
        <v>132</v>
      </c>
      <c r="B3" t="s">
        <v>146</v>
      </c>
    </row>
    <row r="4" spans="1:2" x14ac:dyDescent="0.35">
      <c r="A4" s="15" t="s">
        <v>124</v>
      </c>
      <c r="B4" s="16">
        <v>30</v>
      </c>
    </row>
    <row r="5" spans="1:2" x14ac:dyDescent="0.35">
      <c r="A5" s="15" t="s">
        <v>125</v>
      </c>
      <c r="B5" s="16">
        <v>4</v>
      </c>
    </row>
    <row r="6" spans="1:2" x14ac:dyDescent="0.35">
      <c r="A6" s="15" t="s">
        <v>120</v>
      </c>
      <c r="B6" s="16">
        <v>23</v>
      </c>
    </row>
    <row r="7" spans="1:2" x14ac:dyDescent="0.35">
      <c r="A7" s="15" t="s">
        <v>133</v>
      </c>
      <c r="B7" s="16">
        <v>57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3120-102D-4B63-A794-2F06B0EC9D13}">
  <dimension ref="A1:I130"/>
  <sheetViews>
    <sheetView workbookViewId="0">
      <pane xSplit="1" ySplit="1" topLeftCell="B101" activePane="bottomRight" state="frozen"/>
      <selection pane="topRight" activeCell="B1" sqref="B1"/>
      <selection pane="bottomLeft" activeCell="A2" sqref="A2"/>
      <selection pane="bottomRight" activeCell="D114" sqref="D114"/>
    </sheetView>
  </sheetViews>
  <sheetFormatPr defaultRowHeight="14.5" x14ac:dyDescent="0.35"/>
  <cols>
    <col min="1" max="1" width="86.1796875" bestFit="1" customWidth="1"/>
    <col min="2" max="3" width="18.1796875" bestFit="1" customWidth="1"/>
    <col min="4" max="4" width="11" style="11" customWidth="1"/>
    <col min="5" max="5" width="19.453125" customWidth="1"/>
    <col min="6" max="6" width="18.453125" style="8" customWidth="1"/>
    <col min="7" max="7" width="11.08984375" bestFit="1" customWidth="1"/>
    <col min="8" max="8" width="9.6328125" bestFit="1" customWidth="1"/>
    <col min="9" max="9" width="17.08984375" customWidth="1"/>
  </cols>
  <sheetData>
    <row r="1" spans="1:9" s="4" customFormat="1" ht="33.5" customHeight="1" x14ac:dyDescent="0.4">
      <c r="A1" s="3" t="s">
        <v>0</v>
      </c>
      <c r="B1" s="3" t="s">
        <v>1</v>
      </c>
      <c r="C1" s="3" t="s">
        <v>2</v>
      </c>
      <c r="D1" s="9" t="s">
        <v>3</v>
      </c>
      <c r="E1" s="3" t="s">
        <v>119</v>
      </c>
      <c r="F1" s="6" t="s">
        <v>117</v>
      </c>
      <c r="G1" s="3" t="s">
        <v>4</v>
      </c>
      <c r="H1" s="3" t="s">
        <v>114</v>
      </c>
      <c r="I1" s="4" t="s">
        <v>118</v>
      </c>
    </row>
    <row r="2" spans="1:9" x14ac:dyDescent="0.35">
      <c r="A2" s="1" t="s">
        <v>5</v>
      </c>
      <c r="B2" s="1">
        <v>950</v>
      </c>
      <c r="C2" s="5">
        <v>1525</v>
      </c>
      <c r="D2" s="10">
        <v>0.38</v>
      </c>
      <c r="E2" s="2" t="str" cm="1">
        <f t="array" ref="E2">_xlfn.IFS(D2&lt;0.2,"Low",D2&lt;=0.4,"Medium",TRUE,"High")</f>
        <v>Medium</v>
      </c>
      <c r="F2" s="7">
        <f>C2-B2</f>
        <v>575</v>
      </c>
      <c r="G2" s="1">
        <v>2</v>
      </c>
      <c r="H2" s="1">
        <v>4.5</v>
      </c>
      <c r="I2" t="str" cm="1">
        <f t="array" ref="I2">_xlfn.IFS(H2&lt;3,"Poor",H2&lt;=4.4,"Average",H2&lt;=5,"Excellent",TRUE,"N/A")</f>
        <v>Excellent</v>
      </c>
    </row>
    <row r="3" spans="1:9" x14ac:dyDescent="0.35">
      <c r="A3" s="1" t="s">
        <v>6</v>
      </c>
      <c r="B3" s="1">
        <v>527</v>
      </c>
      <c r="C3" s="1">
        <v>999</v>
      </c>
      <c r="D3" s="10">
        <v>0.47</v>
      </c>
      <c r="E3" s="2" t="str" cm="1">
        <f t="array" ref="E3">_xlfn.IFS(D3&lt;0.2,"Low",D3&lt;=0.4,"Medium",TRUE,"High")</f>
        <v>High</v>
      </c>
      <c r="F3" s="7">
        <f t="shared" ref="F3:F66" si="0">C3-B3</f>
        <v>472</v>
      </c>
      <c r="G3" s="1">
        <v>14</v>
      </c>
      <c r="H3" s="1">
        <v>4.0999999999999996</v>
      </c>
      <c r="I3" t="str" cm="1">
        <f t="array" ref="I3">_xlfn.IFS(H3&lt;3,"Poor",H3&lt;=4.4,"Average",H3&lt;=5,"Excellent",TRUE,"N/A")</f>
        <v>Average</v>
      </c>
    </row>
    <row r="4" spans="1:9" x14ac:dyDescent="0.35">
      <c r="A4" s="1" t="s">
        <v>7</v>
      </c>
      <c r="B4" s="5">
        <v>2199</v>
      </c>
      <c r="C4" s="5">
        <v>2923</v>
      </c>
      <c r="D4" s="10">
        <v>0.25</v>
      </c>
      <c r="E4" s="2" t="str" cm="1">
        <f t="array" ref="E4">_xlfn.IFS(D4&lt;0.2,"Low",D4&lt;=0.4,"Medium",TRUE,"High")</f>
        <v>Medium</v>
      </c>
      <c r="F4" s="7">
        <f t="shared" si="0"/>
        <v>724</v>
      </c>
      <c r="G4" s="1">
        <v>24</v>
      </c>
      <c r="H4" s="1">
        <v>4.5999999999999996</v>
      </c>
      <c r="I4" t="str" cm="1">
        <f t="array" ref="I4">_xlfn.IFS(H4&lt;3,"Poor",H4&lt;=4.4,"Average",H4&lt;=5,"Excellent",TRUE,"N/A")</f>
        <v>Excellent</v>
      </c>
    </row>
    <row r="5" spans="1:9" x14ac:dyDescent="0.35">
      <c r="A5" s="1" t="s">
        <v>8</v>
      </c>
      <c r="B5" s="5">
        <v>1580</v>
      </c>
      <c r="C5" s="5">
        <v>2499</v>
      </c>
      <c r="D5" s="10">
        <v>0.37</v>
      </c>
      <c r="E5" s="2" t="str" cm="1">
        <f t="array" ref="E5">_xlfn.IFS(D5&lt;0.2,"Low",D5&lt;=0.4,"Medium",TRUE,"High")</f>
        <v>Medium</v>
      </c>
      <c r="F5" s="7">
        <f t="shared" si="0"/>
        <v>919</v>
      </c>
      <c r="G5" s="1">
        <v>7</v>
      </c>
      <c r="H5" s="1">
        <v>4.7</v>
      </c>
      <c r="I5" t="str" cm="1">
        <f t="array" ref="I5">_xlfn.IFS(H5&lt;3,"Poor",H5&lt;=4.4,"Average",H5&lt;=5,"Excellent",TRUE,"N/A")</f>
        <v>Excellent</v>
      </c>
    </row>
    <row r="6" spans="1:9" x14ac:dyDescent="0.35">
      <c r="A6" s="1" t="s">
        <v>9</v>
      </c>
      <c r="B6" s="5">
        <v>1740</v>
      </c>
      <c r="C6" s="5">
        <v>2356</v>
      </c>
      <c r="D6" s="10">
        <v>0.26</v>
      </c>
      <c r="E6" s="2" t="str" cm="1">
        <f t="array" ref="E6">_xlfn.IFS(D6&lt;0.2,"Low",D6&lt;=0.4,"Medium",TRUE,"High")</f>
        <v>Medium</v>
      </c>
      <c r="F6" s="7">
        <f t="shared" si="0"/>
        <v>616</v>
      </c>
      <c r="G6" s="1">
        <v>5</v>
      </c>
      <c r="H6" s="1">
        <v>4.8</v>
      </c>
      <c r="I6" t="str" cm="1">
        <f t="array" ref="I6">_xlfn.IFS(H6&lt;3,"Poor",H6&lt;=4.4,"Average",H6&lt;=5,"Excellent",TRUE,"N/A")</f>
        <v>Excellent</v>
      </c>
    </row>
    <row r="7" spans="1:9" x14ac:dyDescent="0.35">
      <c r="A7" s="1" t="s">
        <v>10</v>
      </c>
      <c r="B7" s="5">
        <v>2999</v>
      </c>
      <c r="C7" s="5">
        <v>3290</v>
      </c>
      <c r="D7" s="10">
        <v>0.09</v>
      </c>
      <c r="E7" s="2" t="str" cm="1">
        <f t="array" ref="E7">_xlfn.IFS(D7&lt;0.2,"Low",D7&lt;=0.4,"Medium",TRUE,"High")</f>
        <v>Low</v>
      </c>
      <c r="F7" s="7">
        <f t="shared" si="0"/>
        <v>291</v>
      </c>
      <c r="G7" s="1">
        <v>15</v>
      </c>
      <c r="H7" s="1">
        <v>4</v>
      </c>
      <c r="I7" t="str" cm="1">
        <f t="array" ref="I7">_xlfn.IFS(H7&lt;3,"Poor",H7&lt;=4.4,"Average",H7&lt;=5,"Excellent",TRUE,"N/A")</f>
        <v>Average</v>
      </c>
    </row>
    <row r="8" spans="1:9" x14ac:dyDescent="0.35">
      <c r="A8" s="1" t="s">
        <v>11</v>
      </c>
      <c r="B8" s="5">
        <v>2319</v>
      </c>
      <c r="C8" s="5">
        <v>3032</v>
      </c>
      <c r="D8" s="10">
        <v>0.24</v>
      </c>
      <c r="E8" s="2" t="str" cm="1">
        <f t="array" ref="E8">_xlfn.IFS(D8&lt;0.2,"Low",D8&lt;=0.4,"Medium",TRUE,"High")</f>
        <v>Medium</v>
      </c>
      <c r="F8" s="7">
        <f t="shared" si="0"/>
        <v>713</v>
      </c>
      <c r="G8" s="1">
        <v>55</v>
      </c>
      <c r="H8" s="1">
        <v>4.5999999999999996</v>
      </c>
      <c r="I8" t="str" cm="1">
        <f t="array" ref="I8">_xlfn.IFS(H8&lt;3,"Poor",H8&lt;=4.4,"Average",H8&lt;=5,"Excellent",TRUE,"N/A")</f>
        <v>Excellent</v>
      </c>
    </row>
    <row r="9" spans="1:9" x14ac:dyDescent="0.35">
      <c r="A9" s="1" t="s">
        <v>12</v>
      </c>
      <c r="B9" s="1">
        <v>988</v>
      </c>
      <c r="C9" s="5">
        <v>1580</v>
      </c>
      <c r="D9" s="10">
        <v>0.37</v>
      </c>
      <c r="E9" s="2" t="str" cm="1">
        <f t="array" ref="E9">_xlfn.IFS(D9&lt;0.2,"Low",D9&lt;=0.4,"Medium",TRUE,"High")</f>
        <v>Medium</v>
      </c>
      <c r="F9" s="7">
        <f t="shared" si="0"/>
        <v>592</v>
      </c>
      <c r="G9" s="1">
        <v>2</v>
      </c>
      <c r="H9" s="1">
        <v>4</v>
      </c>
      <c r="I9" t="str" cm="1">
        <f t="array" ref="I9">_xlfn.IFS(H9&lt;3,"Poor",H9&lt;=4.4,"Average",H9&lt;=5,"Excellent",TRUE,"N/A")</f>
        <v>Average</v>
      </c>
    </row>
    <row r="10" spans="1:9" x14ac:dyDescent="0.35">
      <c r="A10" s="1" t="s">
        <v>13</v>
      </c>
      <c r="B10" s="5">
        <v>1274</v>
      </c>
      <c r="C10" s="5">
        <v>2800</v>
      </c>
      <c r="D10" s="10">
        <v>0.55000000000000004</v>
      </c>
      <c r="E10" s="2" t="str" cm="1">
        <f t="array" ref="E10">_xlfn.IFS(D10&lt;0.2,"Low",D10&lt;=0.4,"Medium",TRUE,"High")</f>
        <v>High</v>
      </c>
      <c r="F10" s="7">
        <f t="shared" si="0"/>
        <v>1526</v>
      </c>
      <c r="G10" s="1">
        <v>5</v>
      </c>
      <c r="H10" s="1">
        <v>4.8</v>
      </c>
      <c r="I10" t="str" cm="1">
        <f t="array" ref="I10">_xlfn.IFS(H10&lt;3,"Poor",H10&lt;=4.4,"Average",H10&lt;=5,"Excellent",TRUE,"N/A")</f>
        <v>Excellent</v>
      </c>
    </row>
    <row r="11" spans="1:9" x14ac:dyDescent="0.35">
      <c r="A11" s="1" t="s">
        <v>14</v>
      </c>
      <c r="B11" s="5">
        <v>1600</v>
      </c>
      <c r="C11" s="5">
        <v>2929</v>
      </c>
      <c r="D11" s="10">
        <v>0.45</v>
      </c>
      <c r="E11" s="2" t="str" cm="1">
        <f t="array" ref="E11">_xlfn.IFS(D11&lt;0.2,"Low",D11&lt;=0.4,"Medium",TRUE,"High")</f>
        <v>High</v>
      </c>
      <c r="F11" s="7">
        <f t="shared" si="0"/>
        <v>1329</v>
      </c>
      <c r="G11" s="1">
        <v>5</v>
      </c>
      <c r="H11" s="1">
        <v>3.8</v>
      </c>
      <c r="I11" t="str" cm="1">
        <f t="array" ref="I11">_xlfn.IFS(H11&lt;3,"Poor",H11&lt;=4.4,"Average",H11&lt;=5,"Excellent",TRUE,"N/A")</f>
        <v>Average</v>
      </c>
    </row>
    <row r="12" spans="1:9" x14ac:dyDescent="0.35">
      <c r="A12" s="1" t="s">
        <v>15</v>
      </c>
      <c r="B12" s="1">
        <v>799</v>
      </c>
      <c r="C12" s="1">
        <v>999</v>
      </c>
      <c r="D12" s="10">
        <v>0.2</v>
      </c>
      <c r="E12" s="2" t="str" cm="1">
        <f t="array" ref="E12">_xlfn.IFS(D12&lt;0.2,"Low",D12&lt;=0.4,"Medium",TRUE,"High")</f>
        <v>Medium</v>
      </c>
      <c r="F12" s="7">
        <f t="shared" si="0"/>
        <v>200</v>
      </c>
      <c r="G12" s="1">
        <v>12</v>
      </c>
      <c r="H12" s="1">
        <v>4.0999999999999996</v>
      </c>
      <c r="I12" t="str" cm="1">
        <f t="array" ref="I12">_xlfn.IFS(H12&lt;3,"Poor",H12&lt;=4.4,"Average",H12&lt;=5,"Excellent",TRUE,"N/A")</f>
        <v>Average</v>
      </c>
    </row>
    <row r="13" spans="1:9" x14ac:dyDescent="0.35">
      <c r="A13" s="1" t="s">
        <v>16</v>
      </c>
      <c r="B13" s="1">
        <v>990</v>
      </c>
      <c r="C13" s="5">
        <v>1500</v>
      </c>
      <c r="D13" s="10">
        <v>0.34</v>
      </c>
      <c r="E13" s="2" t="str" cm="1">
        <f t="array" ref="E13">_xlfn.IFS(D13&lt;0.2,"Low",D13&lt;=0.4,"Medium",TRUE,"High")</f>
        <v>Medium</v>
      </c>
      <c r="F13" s="7">
        <f t="shared" si="0"/>
        <v>510</v>
      </c>
      <c r="G13" s="1">
        <v>39</v>
      </c>
      <c r="H13" s="1">
        <v>4.7</v>
      </c>
      <c r="I13" t="str" cm="1">
        <f t="array" ref="I13">_xlfn.IFS(H13&lt;3,"Poor",H13&lt;=4.4,"Average",H13&lt;=5,"Excellent",TRUE,"N/A")</f>
        <v>Excellent</v>
      </c>
    </row>
    <row r="14" spans="1:9" x14ac:dyDescent="0.35">
      <c r="A14" s="1" t="s">
        <v>17</v>
      </c>
      <c r="B14" s="1">
        <v>552</v>
      </c>
      <c r="C14" s="5">
        <v>1035</v>
      </c>
      <c r="D14" s="10">
        <v>0.47</v>
      </c>
      <c r="E14" s="2" t="str" cm="1">
        <f t="array" ref="E14">_xlfn.IFS(D14&lt;0.2,"Low",D14&lt;=0.4,"Medium",TRUE,"High")</f>
        <v>High</v>
      </c>
      <c r="F14" s="7">
        <f t="shared" si="0"/>
        <v>483</v>
      </c>
      <c r="G14" s="1">
        <v>12</v>
      </c>
      <c r="H14" s="1">
        <v>4.8</v>
      </c>
      <c r="I14" t="str" cm="1">
        <f t="array" ref="I14">_xlfn.IFS(H14&lt;3,"Poor",H14&lt;=4.4,"Average",H14&lt;=5,"Excellent",TRUE,"N/A")</f>
        <v>Excellent</v>
      </c>
    </row>
    <row r="15" spans="1:9" x14ac:dyDescent="0.35">
      <c r="A15" s="1" t="s">
        <v>18</v>
      </c>
      <c r="B15" s="1">
        <v>501</v>
      </c>
      <c r="C15" s="1">
        <v>860</v>
      </c>
      <c r="D15" s="10">
        <v>0.42</v>
      </c>
      <c r="E15" s="2" t="str" cm="1">
        <f t="array" ref="E15">_xlfn.IFS(D15&lt;0.2,"Low",D15&lt;=0.4,"Medium",TRUE,"High")</f>
        <v>High</v>
      </c>
      <c r="F15" s="7">
        <f t="shared" si="0"/>
        <v>359</v>
      </c>
      <c r="G15" s="1">
        <v>6</v>
      </c>
      <c r="H15" s="1">
        <v>4.5</v>
      </c>
      <c r="I15" t="str" cm="1">
        <f t="array" ref="I15">_xlfn.IFS(H15&lt;3,"Poor",H15&lt;=4.4,"Average",H15&lt;=5,"Excellent",TRUE,"N/A")</f>
        <v>Excellent</v>
      </c>
    </row>
    <row r="16" spans="1:9" x14ac:dyDescent="0.35">
      <c r="A16" s="1" t="s">
        <v>19</v>
      </c>
      <c r="B16" s="5">
        <v>1680</v>
      </c>
      <c r="C16" s="5">
        <v>2499</v>
      </c>
      <c r="D16" s="10">
        <v>0.33</v>
      </c>
      <c r="E16" s="2" t="str" cm="1">
        <f t="array" ref="E16">_xlfn.IFS(D16&lt;0.2,"Low",D16&lt;=0.4,"Medium",TRUE,"High")</f>
        <v>Medium</v>
      </c>
      <c r="F16" s="7">
        <f t="shared" si="0"/>
        <v>819</v>
      </c>
      <c r="G16" s="1">
        <v>9</v>
      </c>
      <c r="H16" s="1">
        <v>4.2</v>
      </c>
      <c r="I16" t="str" cm="1">
        <f t="array" ref="I16">_xlfn.IFS(H16&lt;3,"Poor",H16&lt;=4.4,"Average",H16&lt;=5,"Excellent",TRUE,"N/A")</f>
        <v>Average</v>
      </c>
    </row>
    <row r="17" spans="1:9" x14ac:dyDescent="0.35">
      <c r="A17" s="1" t="s">
        <v>20</v>
      </c>
      <c r="B17" s="1">
        <v>332</v>
      </c>
      <c r="C17" s="1">
        <v>684</v>
      </c>
      <c r="D17" s="10">
        <v>0.51</v>
      </c>
      <c r="E17" s="2" t="str" cm="1">
        <f t="array" ref="E17">_xlfn.IFS(D17&lt;0.2,"Low",D17&lt;=0.4,"Medium",TRUE,"High")</f>
        <v>High</v>
      </c>
      <c r="F17" s="7">
        <f t="shared" si="0"/>
        <v>352</v>
      </c>
      <c r="G17" s="1">
        <v>2</v>
      </c>
      <c r="H17" s="1">
        <v>5</v>
      </c>
      <c r="I17" t="str" cm="1">
        <f t="array" ref="I17">_xlfn.IFS(H17&lt;3,"Poor",H17&lt;=4.4,"Average",H17&lt;=5,"Excellent",TRUE,"N/A")</f>
        <v>Excellent</v>
      </c>
    </row>
    <row r="18" spans="1:9" x14ac:dyDescent="0.35">
      <c r="A18" s="1" t="s">
        <v>21</v>
      </c>
      <c r="B18" s="1">
        <v>195</v>
      </c>
      <c r="C18" s="1">
        <v>360</v>
      </c>
      <c r="D18" s="10">
        <v>0.46</v>
      </c>
      <c r="E18" s="2" t="str" cm="1">
        <f t="array" ref="E18">_xlfn.IFS(D18&lt;0.2,"Low",D18&lt;=0.4,"Medium",TRUE,"High")</f>
        <v>High</v>
      </c>
      <c r="F18" s="7">
        <f t="shared" si="0"/>
        <v>165</v>
      </c>
      <c r="G18" s="1">
        <v>2</v>
      </c>
      <c r="H18" s="1">
        <v>5</v>
      </c>
      <c r="I18" t="str" cm="1">
        <f t="array" ref="I18">_xlfn.IFS(H18&lt;3,"Poor",H18&lt;=4.4,"Average",H18&lt;=5,"Excellent",TRUE,"N/A")</f>
        <v>Excellent</v>
      </c>
    </row>
    <row r="19" spans="1:9" x14ac:dyDescent="0.35">
      <c r="A19" s="1" t="s">
        <v>22</v>
      </c>
      <c r="B19" s="5">
        <v>2025</v>
      </c>
      <c r="C19" s="5">
        <v>3971</v>
      </c>
      <c r="D19" s="10">
        <v>0.49</v>
      </c>
      <c r="E19" s="2" t="str" cm="1">
        <f t="array" ref="E19">_xlfn.IFS(D19&lt;0.2,"Low",D19&lt;=0.4,"Medium",TRUE,"High")</f>
        <v>High</v>
      </c>
      <c r="F19" s="7">
        <f t="shared" si="0"/>
        <v>1946</v>
      </c>
      <c r="G19" s="1">
        <v>3</v>
      </c>
      <c r="H19" s="1">
        <v>5</v>
      </c>
      <c r="I19" t="str" cm="1">
        <f t="array" ref="I19">_xlfn.IFS(H19&lt;3,"Poor",H19&lt;=4.4,"Average",H19&lt;=5,"Excellent",TRUE,"N/A")</f>
        <v>Excellent</v>
      </c>
    </row>
    <row r="20" spans="1:9" x14ac:dyDescent="0.35">
      <c r="A20" s="1" t="s">
        <v>23</v>
      </c>
      <c r="B20" s="5">
        <v>2999</v>
      </c>
      <c r="C20" s="5">
        <v>3699</v>
      </c>
      <c r="D20" s="10">
        <v>0.19</v>
      </c>
      <c r="E20" s="2" t="str" cm="1">
        <f t="array" ref="E20">_xlfn.IFS(D20&lt;0.2,"Low",D20&lt;=0.4,"Medium",TRUE,"High")</f>
        <v>Low</v>
      </c>
      <c r="F20" s="7">
        <f t="shared" si="0"/>
        <v>700</v>
      </c>
      <c r="G20" s="1">
        <v>5</v>
      </c>
      <c r="H20" s="1">
        <v>4.5999999999999996</v>
      </c>
      <c r="I20" t="str" cm="1">
        <f t="array" ref="I20">_xlfn.IFS(H20&lt;3,"Poor",H20&lt;=4.4,"Average",H20&lt;=5,"Excellent",TRUE,"N/A")</f>
        <v>Excellent</v>
      </c>
    </row>
    <row r="21" spans="1:9" x14ac:dyDescent="0.35">
      <c r="A21" s="1" t="s">
        <v>24</v>
      </c>
      <c r="B21" s="1">
        <v>998</v>
      </c>
      <c r="C21" s="5">
        <v>1966</v>
      </c>
      <c r="D21" s="10">
        <v>0.49</v>
      </c>
      <c r="E21" s="2" t="str" cm="1">
        <f t="array" ref="E21">_xlfn.IFS(D21&lt;0.2,"Low",D21&lt;=0.4,"Medium",TRUE,"High")</f>
        <v>High</v>
      </c>
      <c r="F21" s="7">
        <f t="shared" si="0"/>
        <v>968</v>
      </c>
      <c r="G21" s="1">
        <v>44</v>
      </c>
      <c r="H21" s="1">
        <v>4.5999999999999996</v>
      </c>
      <c r="I21" t="str" cm="1">
        <f t="array" ref="I21">_xlfn.IFS(H21&lt;3,"Poor",H21&lt;=4.4,"Average",H21&lt;=5,"Excellent",TRUE,"N/A")</f>
        <v>Excellent</v>
      </c>
    </row>
    <row r="22" spans="1:9" x14ac:dyDescent="0.35">
      <c r="A22" s="1" t="s">
        <v>25</v>
      </c>
      <c r="B22" s="1">
        <v>38</v>
      </c>
      <c r="C22" s="1">
        <v>80</v>
      </c>
      <c r="D22" s="10">
        <v>0.53</v>
      </c>
      <c r="E22" s="2" t="str" cm="1">
        <f t="array" ref="E22">_xlfn.IFS(D22&lt;0.2,"Low",D22&lt;=0.4,"Medium",TRUE,"High")</f>
        <v>High</v>
      </c>
      <c r="F22" s="7">
        <f t="shared" si="0"/>
        <v>42</v>
      </c>
      <c r="G22" s="1">
        <v>13</v>
      </c>
      <c r="H22" s="1">
        <v>3.3</v>
      </c>
      <c r="I22" t="str" cm="1">
        <f t="array" ref="I22">_xlfn.IFS(H22&lt;3,"Poor",H22&lt;=4.4,"Average",H22&lt;=5,"Excellent",TRUE,"N/A")</f>
        <v>Average</v>
      </c>
    </row>
    <row r="23" spans="1:9" x14ac:dyDescent="0.35">
      <c r="A23" s="1" t="s">
        <v>26</v>
      </c>
      <c r="B23" s="5">
        <v>1860</v>
      </c>
      <c r="C23" s="5">
        <v>3220</v>
      </c>
      <c r="D23" s="10">
        <v>0.42</v>
      </c>
      <c r="E23" s="2" t="str" cm="1">
        <f t="array" ref="E23">_xlfn.IFS(D23&lt;0.2,"Low",D23&lt;=0.4,"Medium",TRUE,"High")</f>
        <v>High</v>
      </c>
      <c r="F23" s="7">
        <f t="shared" si="0"/>
        <v>1360</v>
      </c>
      <c r="G23" s="1" t="s">
        <v>115</v>
      </c>
      <c r="H23" s="1" t="s">
        <v>116</v>
      </c>
      <c r="I23" t="str" cm="1">
        <f t="array" ref="I23">_xlfn.IFS(H23&lt;3,"Poor",H23&lt;=4.4,"Average",H23&lt;=5,"Excellent",TRUE,"N/A")</f>
        <v>N/A</v>
      </c>
    </row>
    <row r="24" spans="1:9" x14ac:dyDescent="0.35">
      <c r="A24" s="1" t="s">
        <v>27</v>
      </c>
      <c r="B24" s="1">
        <v>880</v>
      </c>
      <c r="C24" s="5">
        <v>1350</v>
      </c>
      <c r="D24" s="10">
        <v>0.35</v>
      </c>
      <c r="E24" s="2" t="str" cm="1">
        <f t="array" ref="E24">_xlfn.IFS(D24&lt;0.2,"Low",D24&lt;=0.4,"Medium",TRUE,"High")</f>
        <v>Medium</v>
      </c>
      <c r="F24" s="7">
        <f t="shared" si="0"/>
        <v>470</v>
      </c>
      <c r="G24" s="1">
        <v>6</v>
      </c>
      <c r="H24" s="1">
        <v>4</v>
      </c>
      <c r="I24" t="str" cm="1">
        <f t="array" ref="I24">_xlfn.IFS(H24&lt;3,"Poor",H24&lt;=4.4,"Average",H24&lt;=5,"Excellent",TRUE,"N/A")</f>
        <v>Average</v>
      </c>
    </row>
    <row r="25" spans="1:9" x14ac:dyDescent="0.35">
      <c r="A25" s="1" t="s">
        <v>28</v>
      </c>
      <c r="B25" s="5">
        <v>1650</v>
      </c>
      <c r="C25" s="5">
        <v>2150</v>
      </c>
      <c r="D25" s="10">
        <v>0.23</v>
      </c>
      <c r="E25" s="2" t="str" cm="1">
        <f t="array" ref="E25">_xlfn.IFS(D25&lt;0.2,"Low",D25&lt;=0.4,"Medium",TRUE,"High")</f>
        <v>Medium</v>
      </c>
      <c r="F25" s="7">
        <f t="shared" si="0"/>
        <v>500</v>
      </c>
      <c r="G25" s="1">
        <v>14</v>
      </c>
      <c r="H25" s="1">
        <v>4.4000000000000004</v>
      </c>
      <c r="I25" t="str" cm="1">
        <f t="array" ref="I25">_xlfn.IFS(H25&lt;3,"Poor",H25&lt;=4.4,"Average",H25&lt;=5,"Excellent",TRUE,"N/A")</f>
        <v>Average</v>
      </c>
    </row>
    <row r="26" spans="1:9" x14ac:dyDescent="0.35">
      <c r="A26" s="1" t="s">
        <v>29</v>
      </c>
      <c r="B26" s="5">
        <v>2048</v>
      </c>
      <c r="C26" s="5">
        <v>4500</v>
      </c>
      <c r="D26" s="10">
        <v>0.54</v>
      </c>
      <c r="E26" s="2" t="str" cm="1">
        <f t="array" ref="E26">_xlfn.IFS(D26&lt;0.2,"Low",D26&lt;=0.4,"Medium",TRUE,"High")</f>
        <v>High</v>
      </c>
      <c r="F26" s="7">
        <f t="shared" si="0"/>
        <v>2452</v>
      </c>
      <c r="G26" s="1">
        <v>7</v>
      </c>
      <c r="H26" s="1">
        <v>4.3</v>
      </c>
      <c r="I26" t="str" cm="1">
        <f t="array" ref="I26">_xlfn.IFS(H26&lt;3,"Poor",H26&lt;=4.4,"Average",H26&lt;=5,"Excellent",TRUE,"N/A")</f>
        <v>Average</v>
      </c>
    </row>
    <row r="27" spans="1:9" x14ac:dyDescent="0.35">
      <c r="A27" s="1" t="s">
        <v>30</v>
      </c>
      <c r="B27" s="1">
        <v>420</v>
      </c>
      <c r="C27" s="1">
        <v>647</v>
      </c>
      <c r="D27" s="10">
        <v>0.35</v>
      </c>
      <c r="E27" s="2" t="str" cm="1">
        <f t="array" ref="E27">_xlfn.IFS(D27&lt;0.2,"Low",D27&lt;=0.4,"Medium",TRUE,"High")</f>
        <v>Medium</v>
      </c>
      <c r="F27" s="7">
        <f t="shared" si="0"/>
        <v>227</v>
      </c>
      <c r="G27" s="1">
        <v>49</v>
      </c>
      <c r="H27" s="1">
        <v>4.5999999999999996</v>
      </c>
      <c r="I27" t="str" cm="1">
        <f t="array" ref="I27">_xlfn.IFS(H27&lt;3,"Poor",H27&lt;=4.4,"Average",H27&lt;=5,"Excellent",TRUE,"N/A")</f>
        <v>Excellent</v>
      </c>
    </row>
    <row r="28" spans="1:9" x14ac:dyDescent="0.35">
      <c r="A28" s="1" t="s">
        <v>31</v>
      </c>
      <c r="B28" s="5">
        <v>2880</v>
      </c>
      <c r="C28" s="5">
        <v>3520</v>
      </c>
      <c r="D28" s="10">
        <v>0.18</v>
      </c>
      <c r="E28" s="2" t="str" cm="1">
        <f t="array" ref="E28">_xlfn.IFS(D28&lt;0.2,"Low",D28&lt;=0.4,"Medium",TRUE,"High")</f>
        <v>Low</v>
      </c>
      <c r="F28" s="7">
        <f t="shared" si="0"/>
        <v>640</v>
      </c>
      <c r="G28" s="1">
        <v>12</v>
      </c>
      <c r="H28" s="1">
        <v>3.8</v>
      </c>
      <c r="I28" t="str" cm="1">
        <f t="array" ref="I28">_xlfn.IFS(H28&lt;3,"Poor",H28&lt;=4.4,"Average",H28&lt;=5,"Excellent",TRUE,"N/A")</f>
        <v>Average</v>
      </c>
    </row>
    <row r="29" spans="1:9" x14ac:dyDescent="0.35">
      <c r="A29" s="1" t="s">
        <v>32</v>
      </c>
      <c r="B29" s="5">
        <v>1350</v>
      </c>
      <c r="C29" s="5">
        <v>1990</v>
      </c>
      <c r="D29" s="10">
        <v>0.32</v>
      </c>
      <c r="E29" s="2" t="str" cm="1">
        <f t="array" ref="E29">_xlfn.IFS(D29&lt;0.2,"Low",D29&lt;=0.4,"Medium",TRUE,"High")</f>
        <v>Medium</v>
      </c>
      <c r="F29" s="7">
        <f t="shared" si="0"/>
        <v>640</v>
      </c>
      <c r="G29" s="1">
        <v>13</v>
      </c>
      <c r="H29" s="1">
        <v>3.8</v>
      </c>
      <c r="I29" t="str" cm="1">
        <f t="array" ref="I29">_xlfn.IFS(H29&lt;3,"Poor",H29&lt;=4.4,"Average",H29&lt;=5,"Excellent",TRUE,"N/A")</f>
        <v>Average</v>
      </c>
    </row>
    <row r="30" spans="1:9" x14ac:dyDescent="0.35">
      <c r="A30" s="1" t="s">
        <v>33</v>
      </c>
      <c r="B30" s="5">
        <v>1758</v>
      </c>
      <c r="C30" s="5">
        <v>2499</v>
      </c>
      <c r="D30" s="10">
        <v>0.3</v>
      </c>
      <c r="E30" s="2" t="str" cm="1">
        <f t="array" ref="E30">_xlfn.IFS(D30&lt;0.2,"Low",D30&lt;=0.4,"Medium",TRUE,"High")</f>
        <v>Medium</v>
      </c>
      <c r="F30" s="7">
        <f t="shared" si="0"/>
        <v>741</v>
      </c>
      <c r="G30" s="1">
        <v>20</v>
      </c>
      <c r="H30" s="1">
        <v>4.0999999999999996</v>
      </c>
      <c r="I30" t="str" cm="1">
        <f t="array" ref="I30">_xlfn.IFS(H30&lt;3,"Poor",H30&lt;=4.4,"Average",H30&lt;=5,"Excellent",TRUE,"N/A")</f>
        <v>Average</v>
      </c>
    </row>
    <row r="31" spans="1:9" x14ac:dyDescent="0.35">
      <c r="A31" s="1" t="s">
        <v>34</v>
      </c>
      <c r="B31" s="5">
        <v>2200</v>
      </c>
      <c r="C31" s="5">
        <v>4080</v>
      </c>
      <c r="D31" s="10">
        <v>0.46</v>
      </c>
      <c r="E31" s="2" t="str" cm="1">
        <f t="array" ref="E31">_xlfn.IFS(D31&lt;0.2,"Low",D31&lt;=0.4,"Medium",TRUE,"High")</f>
        <v>High</v>
      </c>
      <c r="F31" s="7">
        <f t="shared" si="0"/>
        <v>1880</v>
      </c>
      <c r="G31" s="1" t="s">
        <v>115</v>
      </c>
      <c r="H31" s="1" t="s">
        <v>116</v>
      </c>
      <c r="I31" t="str" cm="1">
        <f t="array" ref="I31">_xlfn.IFS(H31&lt;3,"Poor",H31&lt;=4.4,"Average",H31&lt;=5,"Excellent",TRUE,"N/A")</f>
        <v>N/A</v>
      </c>
    </row>
    <row r="32" spans="1:9" x14ac:dyDescent="0.35">
      <c r="A32" s="1" t="s">
        <v>35</v>
      </c>
      <c r="B32" s="1">
        <v>185</v>
      </c>
      <c r="C32" s="1">
        <v>382</v>
      </c>
      <c r="D32" s="10">
        <v>0.52</v>
      </c>
      <c r="E32" s="2" t="str" cm="1">
        <f t="array" ref="E32">_xlfn.IFS(D32&lt;0.2,"Low",D32&lt;=0.4,"Medium",TRUE,"High")</f>
        <v>High</v>
      </c>
      <c r="F32" s="7">
        <f t="shared" si="0"/>
        <v>197</v>
      </c>
      <c r="G32" s="1">
        <v>9</v>
      </c>
      <c r="H32" s="1">
        <v>4.3</v>
      </c>
      <c r="I32" t="str" cm="1">
        <f t="array" ref="I32">_xlfn.IFS(H32&lt;3,"Poor",H32&lt;=4.4,"Average",H32&lt;=5,"Excellent",TRUE,"N/A")</f>
        <v>Average</v>
      </c>
    </row>
    <row r="33" spans="1:9" x14ac:dyDescent="0.35">
      <c r="A33" s="1" t="s">
        <v>36</v>
      </c>
      <c r="B33" s="1">
        <v>980</v>
      </c>
      <c r="C33" s="5">
        <v>1490</v>
      </c>
      <c r="D33" s="10">
        <v>0.34</v>
      </c>
      <c r="E33" s="2" t="str" cm="1">
        <f t="array" ref="E33">_xlfn.IFS(D33&lt;0.2,"Low",D33&lt;=0.4,"Medium",TRUE,"High")</f>
        <v>Medium</v>
      </c>
      <c r="F33" s="7">
        <f t="shared" si="0"/>
        <v>510</v>
      </c>
      <c r="G33" s="1">
        <v>12</v>
      </c>
      <c r="H33" s="1">
        <v>4.7</v>
      </c>
      <c r="I33" t="str" cm="1">
        <f t="array" ref="I33">_xlfn.IFS(H33&lt;3,"Poor",H33&lt;=4.4,"Average",H33&lt;=5,"Excellent",TRUE,"N/A")</f>
        <v>Excellent</v>
      </c>
    </row>
    <row r="34" spans="1:9" x14ac:dyDescent="0.35">
      <c r="A34" s="1" t="s">
        <v>37</v>
      </c>
      <c r="B34" s="5">
        <v>1820</v>
      </c>
      <c r="C34" s="5">
        <v>3490</v>
      </c>
      <c r="D34" s="10">
        <v>0.48</v>
      </c>
      <c r="E34" s="2" t="str" cm="1">
        <f t="array" ref="E34">_xlfn.IFS(D34&lt;0.2,"Low",D34&lt;=0.4,"Medium",TRUE,"High")</f>
        <v>High</v>
      </c>
      <c r="F34" s="7">
        <f t="shared" si="0"/>
        <v>1670</v>
      </c>
      <c r="G34" s="1">
        <v>9</v>
      </c>
      <c r="H34" s="1">
        <v>4.3</v>
      </c>
      <c r="I34" t="str" cm="1">
        <f t="array" ref="I34">_xlfn.IFS(H34&lt;3,"Poor",H34&lt;=4.4,"Average",H34&lt;=5,"Excellent",TRUE,"N/A")</f>
        <v>Average</v>
      </c>
    </row>
    <row r="35" spans="1:9" x14ac:dyDescent="0.35">
      <c r="A35" s="1" t="s">
        <v>38</v>
      </c>
      <c r="B35" s="5">
        <v>1940</v>
      </c>
      <c r="C35" s="5">
        <v>2650</v>
      </c>
      <c r="D35" s="10">
        <v>0.27</v>
      </c>
      <c r="E35" s="2" t="str" cm="1">
        <f t="array" ref="E35">_xlfn.IFS(D35&lt;0.2,"Low",D35&lt;=0.4,"Medium",TRUE,"High")</f>
        <v>Medium</v>
      </c>
      <c r="F35" s="7">
        <f t="shared" si="0"/>
        <v>710</v>
      </c>
      <c r="G35" s="1">
        <v>20</v>
      </c>
      <c r="H35" s="1">
        <v>4.7</v>
      </c>
      <c r="I35" t="str" cm="1">
        <f t="array" ref="I35">_xlfn.IFS(H35&lt;3,"Poor",H35&lt;=4.4,"Average",H35&lt;=5,"Excellent",TRUE,"N/A")</f>
        <v>Excellent</v>
      </c>
    </row>
    <row r="36" spans="1:9" x14ac:dyDescent="0.35">
      <c r="A36" s="1" t="s">
        <v>39</v>
      </c>
      <c r="B36" s="5">
        <v>1980</v>
      </c>
      <c r="C36" s="5">
        <v>2699</v>
      </c>
      <c r="D36" s="10">
        <v>0.27</v>
      </c>
      <c r="E36" s="2" t="str" cm="1">
        <f t="array" ref="E36">_xlfn.IFS(D36&lt;0.2,"Low",D36&lt;=0.4,"Medium",TRUE,"High")</f>
        <v>Medium</v>
      </c>
      <c r="F36" s="7">
        <f t="shared" si="0"/>
        <v>719</v>
      </c>
      <c r="G36" s="1">
        <v>32</v>
      </c>
      <c r="H36" s="1">
        <v>4.5</v>
      </c>
      <c r="I36" t="str" cm="1">
        <f t="array" ref="I36">_xlfn.IFS(H36&lt;3,"Poor",H36&lt;=4.4,"Average",H36&lt;=5,"Excellent",TRUE,"N/A")</f>
        <v>Excellent</v>
      </c>
    </row>
    <row r="37" spans="1:9" x14ac:dyDescent="0.35">
      <c r="A37" s="1" t="s">
        <v>40</v>
      </c>
      <c r="B37" s="5">
        <v>1620</v>
      </c>
      <c r="C37" s="5">
        <v>2690</v>
      </c>
      <c r="D37" s="10">
        <v>0.4</v>
      </c>
      <c r="E37" s="2" t="str" cm="1">
        <f t="array" ref="E37">_xlfn.IFS(D37&lt;0.2,"Low",D37&lt;=0.4,"Medium",TRUE,"High")</f>
        <v>Medium</v>
      </c>
      <c r="F37" s="7">
        <f t="shared" si="0"/>
        <v>1070</v>
      </c>
      <c r="G37" s="1">
        <v>1</v>
      </c>
      <c r="H37" s="1">
        <v>5</v>
      </c>
      <c r="I37" t="str" cm="1">
        <f t="array" ref="I37">_xlfn.IFS(H37&lt;3,"Poor",H37&lt;=4.4,"Average",H37&lt;=5,"Excellent",TRUE,"N/A")</f>
        <v>Excellent</v>
      </c>
    </row>
    <row r="38" spans="1:9" x14ac:dyDescent="0.35">
      <c r="A38" s="1" t="s">
        <v>41</v>
      </c>
      <c r="B38" s="1">
        <v>171</v>
      </c>
      <c r="C38" s="1">
        <v>360</v>
      </c>
      <c r="D38" s="10">
        <v>0.53</v>
      </c>
      <c r="E38" s="2" t="str" cm="1">
        <f t="array" ref="E38">_xlfn.IFS(D38&lt;0.2,"Low",D38&lt;=0.4,"Medium",TRUE,"High")</f>
        <v>High</v>
      </c>
      <c r="F38" s="7">
        <f t="shared" si="0"/>
        <v>189</v>
      </c>
      <c r="G38" s="1">
        <v>2</v>
      </c>
      <c r="H38" s="1">
        <v>5</v>
      </c>
      <c r="I38" t="str" cm="1">
        <f t="array" ref="I38">_xlfn.IFS(H38&lt;3,"Poor",H38&lt;=4.4,"Average",H38&lt;=5,"Excellent",TRUE,"N/A")</f>
        <v>Excellent</v>
      </c>
    </row>
    <row r="39" spans="1:9" x14ac:dyDescent="0.35">
      <c r="A39" s="1" t="s">
        <v>42</v>
      </c>
      <c r="B39" s="1">
        <v>389</v>
      </c>
      <c r="C39" s="1">
        <v>656</v>
      </c>
      <c r="D39" s="10">
        <v>0.41</v>
      </c>
      <c r="E39" s="2" t="str" cm="1">
        <f t="array" ref="E39">_xlfn.IFS(D39&lt;0.2,"Low",D39&lt;=0.4,"Medium",TRUE,"High")</f>
        <v>High</v>
      </c>
      <c r="F39" s="7">
        <f t="shared" si="0"/>
        <v>267</v>
      </c>
      <c r="G39" s="1">
        <v>36</v>
      </c>
      <c r="H39" s="1">
        <v>4.3</v>
      </c>
      <c r="I39" t="str" cm="1">
        <f t="array" ref="I39">_xlfn.IFS(H39&lt;3,"Poor",H39&lt;=4.4,"Average",H39&lt;=5,"Excellent",TRUE,"N/A")</f>
        <v>Average</v>
      </c>
    </row>
    <row r="40" spans="1:9" x14ac:dyDescent="0.35">
      <c r="A40" s="1" t="s">
        <v>43</v>
      </c>
      <c r="B40" s="1">
        <v>1800</v>
      </c>
      <c r="C40" s="1">
        <v>2700</v>
      </c>
      <c r="D40" s="10">
        <v>0.38</v>
      </c>
      <c r="E40" s="2" t="str" cm="1">
        <f t="array" ref="E40">_xlfn.IFS(D40&lt;0.2,"Low",D40&lt;=0.4,"Medium",TRUE,"High")</f>
        <v>Medium</v>
      </c>
      <c r="F40" s="7">
        <f t="shared" si="0"/>
        <v>900</v>
      </c>
      <c r="G40" s="1">
        <v>2</v>
      </c>
      <c r="H40" s="1">
        <v>4.5</v>
      </c>
      <c r="I40" t="str" cm="1">
        <f t="array" ref="I40">_xlfn.IFS(H40&lt;3,"Poor",H40&lt;=4.4,"Average",H40&lt;=5,"Excellent",TRUE,"N/A")</f>
        <v>Excellent</v>
      </c>
    </row>
    <row r="41" spans="1:9" x14ac:dyDescent="0.35">
      <c r="A41" s="1" t="s">
        <v>44</v>
      </c>
      <c r="B41" s="5">
        <v>2750</v>
      </c>
      <c r="C41" s="5">
        <v>4471</v>
      </c>
      <c r="D41" s="10">
        <v>0.38</v>
      </c>
      <c r="E41" s="2" t="str" cm="1">
        <f t="array" ref="E41">_xlfn.IFS(D41&lt;0.2,"Low",D41&lt;=0.4,"Medium",TRUE,"High")</f>
        <v>Medium</v>
      </c>
      <c r="F41" s="7">
        <f t="shared" si="0"/>
        <v>1721</v>
      </c>
      <c r="G41" s="1" t="s">
        <v>115</v>
      </c>
      <c r="H41" s="1" t="s">
        <v>116</v>
      </c>
      <c r="I41" t="str" cm="1">
        <f t="array" ref="I41">_xlfn.IFS(H41&lt;3,"Poor",H41&lt;=4.4,"Average",H41&lt;=5,"Excellent",TRUE,"N/A")</f>
        <v>N/A</v>
      </c>
    </row>
    <row r="42" spans="1:9" x14ac:dyDescent="0.35">
      <c r="A42" s="1" t="s">
        <v>45</v>
      </c>
      <c r="B42" s="1">
        <v>475</v>
      </c>
      <c r="C42" s="1">
        <v>931</v>
      </c>
      <c r="D42" s="10">
        <v>0.49</v>
      </c>
      <c r="E42" s="2" t="str" cm="1">
        <f t="array" ref="E42">_xlfn.IFS(D42&lt;0.2,"Low",D42&lt;=0.4,"Medium",TRUE,"High")</f>
        <v>High</v>
      </c>
      <c r="F42" s="7">
        <f t="shared" si="0"/>
        <v>456</v>
      </c>
      <c r="G42" s="1" t="s">
        <v>115</v>
      </c>
      <c r="H42" s="1" t="s">
        <v>116</v>
      </c>
      <c r="I42" t="str" cm="1">
        <f t="array" ref="I42">_xlfn.IFS(H42&lt;3,"Poor",H42&lt;=4.4,"Average",H42&lt;=5,"Excellent",TRUE,"N/A")</f>
        <v>N/A</v>
      </c>
    </row>
    <row r="43" spans="1:9" x14ac:dyDescent="0.35">
      <c r="A43" s="1" t="s">
        <v>46</v>
      </c>
      <c r="B43" s="1">
        <v>238</v>
      </c>
      <c r="C43" s="1">
        <v>476</v>
      </c>
      <c r="D43" s="10">
        <v>0.5</v>
      </c>
      <c r="E43" s="2" t="str" cm="1">
        <f t="array" ref="E43">_xlfn.IFS(D43&lt;0.2,"Low",D43&lt;=0.4,"Medium",TRUE,"High")</f>
        <v>High</v>
      </c>
      <c r="F43" s="7">
        <f t="shared" si="0"/>
        <v>238</v>
      </c>
      <c r="G43" s="1" t="s">
        <v>115</v>
      </c>
      <c r="H43" s="1" t="s">
        <v>116</v>
      </c>
      <c r="I43" t="str" cm="1">
        <f t="array" ref="I43">_xlfn.IFS(H43&lt;3,"Poor",H43&lt;=4.4,"Average",H43&lt;=5,"Excellent",TRUE,"N/A")</f>
        <v>N/A</v>
      </c>
    </row>
    <row r="44" spans="1:9" x14ac:dyDescent="0.35">
      <c r="A44" s="1" t="s">
        <v>47</v>
      </c>
      <c r="B44" s="1">
        <v>610</v>
      </c>
      <c r="C44" s="5">
        <v>1060</v>
      </c>
      <c r="D44" s="10">
        <v>0.42</v>
      </c>
      <c r="E44" s="2" t="str" cm="1">
        <f t="array" ref="E44">_xlfn.IFS(D44&lt;0.2,"Low",D44&lt;=0.4,"Medium",TRUE,"High")</f>
        <v>High</v>
      </c>
      <c r="F44" s="7">
        <f t="shared" si="0"/>
        <v>450</v>
      </c>
      <c r="G44" s="1" t="s">
        <v>115</v>
      </c>
      <c r="H44" s="1" t="s">
        <v>116</v>
      </c>
      <c r="I44" t="str" cm="1">
        <f t="array" ref="I44">_xlfn.IFS(H44&lt;3,"Poor",H44&lt;=4.4,"Average",H44&lt;=5,"Excellent",TRUE,"N/A")</f>
        <v>N/A</v>
      </c>
    </row>
    <row r="45" spans="1:9" x14ac:dyDescent="0.35">
      <c r="A45" s="1" t="s">
        <v>48</v>
      </c>
      <c r="B45" s="5">
        <v>2132</v>
      </c>
      <c r="C45" s="5">
        <v>2169</v>
      </c>
      <c r="D45" s="10">
        <v>0.02</v>
      </c>
      <c r="E45" s="2" t="str" cm="1">
        <f t="array" ref="E45">_xlfn.IFS(D45&lt;0.2,"Low",D45&lt;=0.4,"Medium",TRUE,"High")</f>
        <v>Low</v>
      </c>
      <c r="F45" s="7">
        <f t="shared" si="0"/>
        <v>37</v>
      </c>
      <c r="G45" s="1" t="s">
        <v>115</v>
      </c>
      <c r="H45" s="1" t="s">
        <v>116</v>
      </c>
      <c r="I45" t="str" cm="1">
        <f t="array" ref="I45">_xlfn.IFS(H45&lt;3,"Poor",H45&lt;=4.4,"Average",H45&lt;=5,"Excellent",TRUE,"N/A")</f>
        <v>N/A</v>
      </c>
    </row>
    <row r="46" spans="1:9" x14ac:dyDescent="0.35">
      <c r="A46" s="1" t="s">
        <v>49</v>
      </c>
      <c r="B46" s="1">
        <v>999</v>
      </c>
      <c r="C46" s="5">
        <v>2000</v>
      </c>
      <c r="D46" s="10">
        <v>0.5</v>
      </c>
      <c r="E46" s="2" t="str" cm="1">
        <f t="array" ref="E46">_xlfn.IFS(D46&lt;0.2,"Low",D46&lt;=0.4,"Medium",TRUE,"High")</f>
        <v>High</v>
      </c>
      <c r="F46" s="7">
        <f t="shared" si="0"/>
        <v>1001</v>
      </c>
      <c r="G46" s="1" t="s">
        <v>115</v>
      </c>
      <c r="H46" s="1" t="s">
        <v>116</v>
      </c>
      <c r="I46" t="str" cm="1">
        <f t="array" ref="I46">_xlfn.IFS(H46&lt;3,"Poor",H46&lt;=4.4,"Average",H46&lt;=5,"Excellent",TRUE,"N/A")</f>
        <v>N/A</v>
      </c>
    </row>
    <row r="47" spans="1:9" x14ac:dyDescent="0.35">
      <c r="A47" s="1" t="s">
        <v>50</v>
      </c>
      <c r="B47" s="5">
        <v>1190</v>
      </c>
      <c r="C47" s="5">
        <v>1785</v>
      </c>
      <c r="D47" s="10">
        <v>0.33</v>
      </c>
      <c r="E47" s="2" t="str" cm="1">
        <f t="array" ref="E47">_xlfn.IFS(D47&lt;0.2,"Low",D47&lt;=0.4,"Medium",TRUE,"High")</f>
        <v>Medium</v>
      </c>
      <c r="F47" s="7">
        <f t="shared" si="0"/>
        <v>595</v>
      </c>
      <c r="G47" s="1" t="s">
        <v>115</v>
      </c>
      <c r="H47" s="1" t="s">
        <v>116</v>
      </c>
      <c r="I47" t="str" cm="1">
        <f t="array" ref="I47">_xlfn.IFS(H47&lt;3,"Poor",H47&lt;=4.4,"Average",H47&lt;=5,"Excellent",TRUE,"N/A")</f>
        <v>N/A</v>
      </c>
    </row>
    <row r="48" spans="1:9" x14ac:dyDescent="0.35">
      <c r="A48" s="1" t="s">
        <v>51</v>
      </c>
      <c r="B48" s="1">
        <v>671</v>
      </c>
      <c r="C48" s="5">
        <v>1316</v>
      </c>
      <c r="D48" s="10">
        <v>0.49</v>
      </c>
      <c r="E48" s="2" t="str" cm="1">
        <f t="array" ref="E48">_xlfn.IFS(D48&lt;0.2,"Low",D48&lt;=0.4,"Medium",TRUE,"High")</f>
        <v>High</v>
      </c>
      <c r="F48" s="7">
        <f t="shared" si="0"/>
        <v>645</v>
      </c>
      <c r="G48" s="1" t="s">
        <v>115</v>
      </c>
      <c r="H48" s="1" t="s">
        <v>116</v>
      </c>
      <c r="I48" t="str" cm="1">
        <f t="array" ref="I48">_xlfn.IFS(H48&lt;3,"Poor",H48&lt;=4.4,"Average",H48&lt;=5,"Excellent",TRUE,"N/A")</f>
        <v>N/A</v>
      </c>
    </row>
    <row r="49" spans="1:9" x14ac:dyDescent="0.35">
      <c r="A49" s="1" t="s">
        <v>52</v>
      </c>
      <c r="B49" s="5">
        <v>1200</v>
      </c>
      <c r="C49" s="5">
        <v>1950</v>
      </c>
      <c r="D49" s="10">
        <v>0.38</v>
      </c>
      <c r="E49" s="2" t="str" cm="1">
        <f t="array" ref="E49">_xlfn.IFS(D49&lt;0.2,"Low",D49&lt;=0.4,"Medium",TRUE,"High")</f>
        <v>Medium</v>
      </c>
      <c r="F49" s="7">
        <f t="shared" si="0"/>
        <v>750</v>
      </c>
      <c r="G49" s="1" t="s">
        <v>115</v>
      </c>
      <c r="H49" s="1" t="s">
        <v>116</v>
      </c>
      <c r="I49" t="str" cm="1">
        <f t="array" ref="I49">_xlfn.IFS(H49&lt;3,"Poor",H49&lt;=4.4,"Average",H49&lt;=5,"Excellent",TRUE,"N/A")</f>
        <v>N/A</v>
      </c>
    </row>
    <row r="50" spans="1:9" x14ac:dyDescent="0.35">
      <c r="A50" s="1" t="s">
        <v>53</v>
      </c>
      <c r="B50" s="1">
        <v>199</v>
      </c>
      <c r="C50" s="1">
        <v>504</v>
      </c>
      <c r="D50" s="10">
        <v>0.61</v>
      </c>
      <c r="E50" s="2" t="str" cm="1">
        <f t="array" ref="E50">_xlfn.IFS(D50&lt;0.2,"Low",D50&lt;=0.4,"Medium",TRUE,"High")</f>
        <v>High</v>
      </c>
      <c r="F50" s="7">
        <f t="shared" si="0"/>
        <v>305</v>
      </c>
      <c r="G50" s="1" t="s">
        <v>115</v>
      </c>
      <c r="H50" s="1" t="s">
        <v>116</v>
      </c>
      <c r="I50" t="str" cm="1">
        <f t="array" ref="I50">_xlfn.IFS(H50&lt;3,"Poor",H50&lt;=4.4,"Average",H50&lt;=5,"Excellent",TRUE,"N/A")</f>
        <v>N/A</v>
      </c>
    </row>
    <row r="51" spans="1:9" x14ac:dyDescent="0.35">
      <c r="A51" s="1" t="s">
        <v>54</v>
      </c>
      <c r="B51" s="1">
        <v>299</v>
      </c>
      <c r="C51" s="1">
        <v>600</v>
      </c>
      <c r="D51" s="10">
        <v>0.5</v>
      </c>
      <c r="E51" s="2" t="str" cm="1">
        <f t="array" ref="E51">_xlfn.IFS(D51&lt;0.2,"Low",D51&lt;=0.4,"Medium",TRUE,"High")</f>
        <v>High</v>
      </c>
      <c r="F51" s="7">
        <f t="shared" si="0"/>
        <v>301</v>
      </c>
      <c r="G51" s="1" t="s">
        <v>115</v>
      </c>
      <c r="H51" s="1" t="s">
        <v>116</v>
      </c>
      <c r="I51" t="str" cm="1">
        <f t="array" ref="I51">_xlfn.IFS(H51&lt;3,"Poor",H51&lt;=4.4,"Average",H51&lt;=5,"Excellent",TRUE,"N/A")</f>
        <v>N/A</v>
      </c>
    </row>
    <row r="52" spans="1:9" x14ac:dyDescent="0.35">
      <c r="A52" s="1" t="s">
        <v>55</v>
      </c>
      <c r="B52" s="5">
        <v>1660</v>
      </c>
      <c r="C52" s="5">
        <v>1699</v>
      </c>
      <c r="D52" s="10">
        <v>0.02</v>
      </c>
      <c r="E52" s="2" t="str" cm="1">
        <f t="array" ref="E52">_xlfn.IFS(D52&lt;0.2,"Low",D52&lt;=0.4,"Medium",TRUE,"High")</f>
        <v>Low</v>
      </c>
      <c r="F52" s="7">
        <f t="shared" si="0"/>
        <v>39</v>
      </c>
      <c r="G52" s="1" t="s">
        <v>115</v>
      </c>
      <c r="H52" s="1" t="s">
        <v>116</v>
      </c>
      <c r="I52" t="str" cm="1">
        <f t="array" ref="I52">_xlfn.IFS(H52&lt;3,"Poor",H52&lt;=4.4,"Average",H52&lt;=5,"Excellent",TRUE,"N/A")</f>
        <v>N/A</v>
      </c>
    </row>
    <row r="53" spans="1:9" x14ac:dyDescent="0.35">
      <c r="A53" s="1" t="s">
        <v>56</v>
      </c>
      <c r="B53" s="1">
        <v>299</v>
      </c>
      <c r="C53" s="1">
        <v>384</v>
      </c>
      <c r="D53" s="10">
        <v>0.22</v>
      </c>
      <c r="E53" s="2" t="str" cm="1">
        <f t="array" ref="E53">_xlfn.IFS(D53&lt;0.2,"Low",D53&lt;=0.4,"Medium",TRUE,"High")</f>
        <v>Medium</v>
      </c>
      <c r="F53" s="7">
        <f t="shared" si="0"/>
        <v>85</v>
      </c>
      <c r="G53" s="1" t="s">
        <v>115</v>
      </c>
      <c r="H53" s="1" t="s">
        <v>116</v>
      </c>
      <c r="I53" t="str" cm="1">
        <f t="array" ref="I53">_xlfn.IFS(H53&lt;3,"Poor",H53&lt;=4.4,"Average",H53&lt;=5,"Excellent",TRUE,"N/A")</f>
        <v>N/A</v>
      </c>
    </row>
    <row r="54" spans="1:9" x14ac:dyDescent="0.35">
      <c r="A54" s="1" t="s">
        <v>57</v>
      </c>
      <c r="B54" s="5">
        <v>1459</v>
      </c>
      <c r="C54" s="5">
        <v>1499</v>
      </c>
      <c r="D54" s="10">
        <v>0.03</v>
      </c>
      <c r="E54" s="2" t="str" cm="1">
        <f t="array" ref="E54">_xlfn.IFS(D54&lt;0.2,"Low",D54&lt;=0.4,"Medium",TRUE,"High")</f>
        <v>Low</v>
      </c>
      <c r="F54" s="7">
        <f t="shared" si="0"/>
        <v>40</v>
      </c>
      <c r="G54" s="1" t="s">
        <v>115</v>
      </c>
      <c r="H54" s="1" t="s">
        <v>116</v>
      </c>
      <c r="I54" t="str" cm="1">
        <f t="array" ref="I54">_xlfn.IFS(H54&lt;3,"Poor",H54&lt;=4.4,"Average",H54&lt;=5,"Excellent",TRUE,"N/A")</f>
        <v>N/A</v>
      </c>
    </row>
    <row r="55" spans="1:9" x14ac:dyDescent="0.35">
      <c r="A55" s="1" t="s">
        <v>58</v>
      </c>
      <c r="B55" s="1">
        <v>799</v>
      </c>
      <c r="C55" s="5">
        <v>1343</v>
      </c>
      <c r="D55" s="10">
        <v>0.41</v>
      </c>
      <c r="E55" s="2" t="str" cm="1">
        <f t="array" ref="E55">_xlfn.IFS(D55&lt;0.2,"Low",D55&lt;=0.4,"Medium",TRUE,"High")</f>
        <v>High</v>
      </c>
      <c r="F55" s="7">
        <f t="shared" si="0"/>
        <v>544</v>
      </c>
      <c r="G55" s="1" t="s">
        <v>115</v>
      </c>
      <c r="H55" s="1" t="s">
        <v>116</v>
      </c>
      <c r="I55" t="str" cm="1">
        <f t="array" ref="I55">_xlfn.IFS(H55&lt;3,"Poor",H55&lt;=4.4,"Average",H55&lt;=5,"Excellent",TRUE,"N/A")</f>
        <v>N/A</v>
      </c>
    </row>
    <row r="56" spans="1:9" x14ac:dyDescent="0.35">
      <c r="A56" s="1" t="s">
        <v>59</v>
      </c>
      <c r="B56" s="1">
        <v>499</v>
      </c>
      <c r="C56" s="1">
        <v>900</v>
      </c>
      <c r="D56" s="10">
        <v>0.45</v>
      </c>
      <c r="E56" s="2" t="str" cm="1">
        <f t="array" ref="E56">_xlfn.IFS(D56&lt;0.2,"Low",D56&lt;=0.4,"Medium",TRUE,"High")</f>
        <v>High</v>
      </c>
      <c r="F56" s="7">
        <f t="shared" si="0"/>
        <v>401</v>
      </c>
      <c r="G56" s="1" t="s">
        <v>115</v>
      </c>
      <c r="H56" s="1" t="s">
        <v>116</v>
      </c>
      <c r="I56" t="str" cm="1">
        <f t="array" ref="I56">_xlfn.IFS(H56&lt;3,"Poor",H56&lt;=4.4,"Average",H56&lt;=5,"Excellent",TRUE,"N/A")</f>
        <v>N/A</v>
      </c>
    </row>
    <row r="57" spans="1:9" x14ac:dyDescent="0.35">
      <c r="A57" s="1" t="s">
        <v>60</v>
      </c>
      <c r="B57" s="1">
        <v>699</v>
      </c>
      <c r="C57" s="5">
        <v>1343</v>
      </c>
      <c r="D57" s="10">
        <v>0.48</v>
      </c>
      <c r="E57" s="2" t="str" cm="1">
        <f t="array" ref="E57">_xlfn.IFS(D57&lt;0.2,"Low",D57&lt;=0.4,"Medium",TRUE,"High")</f>
        <v>High</v>
      </c>
      <c r="F57" s="7">
        <f t="shared" si="0"/>
        <v>644</v>
      </c>
      <c r="G57" s="1" t="s">
        <v>115</v>
      </c>
      <c r="H57" s="1" t="s">
        <v>116</v>
      </c>
      <c r="I57" t="str" cm="1">
        <f t="array" ref="I57">_xlfn.IFS(H57&lt;3,"Poor",H57&lt;=4.4,"Average",H57&lt;=5,"Excellent",TRUE,"N/A")</f>
        <v>N/A</v>
      </c>
    </row>
    <row r="58" spans="1:9" x14ac:dyDescent="0.35">
      <c r="A58" s="1" t="s">
        <v>61</v>
      </c>
      <c r="B58" s="1">
        <v>799</v>
      </c>
      <c r="C58" s="5">
        <v>1567</v>
      </c>
      <c r="D58" s="10">
        <v>0.49</v>
      </c>
      <c r="E58" s="2" t="str" cm="1">
        <f t="array" ref="E58">_xlfn.IFS(D58&lt;0.2,"Low",D58&lt;=0.4,"Medium",TRUE,"High")</f>
        <v>High</v>
      </c>
      <c r="F58" s="7">
        <f t="shared" si="0"/>
        <v>768</v>
      </c>
      <c r="G58" s="1" t="s">
        <v>115</v>
      </c>
      <c r="H58" s="1" t="s">
        <v>116</v>
      </c>
      <c r="I58" t="str" cm="1">
        <f t="array" ref="I58">_xlfn.IFS(H58&lt;3,"Poor",H58&lt;=4.4,"Average",H58&lt;=5,"Excellent",TRUE,"N/A")</f>
        <v>N/A</v>
      </c>
    </row>
    <row r="59" spans="1:9" x14ac:dyDescent="0.35">
      <c r="A59" s="1" t="s">
        <v>62</v>
      </c>
      <c r="B59" s="5">
        <v>2799</v>
      </c>
      <c r="C59" s="5">
        <v>3810</v>
      </c>
      <c r="D59" s="10">
        <v>0.27</v>
      </c>
      <c r="E59" s="2" t="str" cm="1">
        <f t="array" ref="E59">_xlfn.IFS(D59&lt;0.2,"Low",D59&lt;=0.4,"Medium",TRUE,"High")</f>
        <v>Medium</v>
      </c>
      <c r="F59" s="7">
        <f t="shared" si="0"/>
        <v>1011</v>
      </c>
      <c r="G59" s="1" t="s">
        <v>115</v>
      </c>
      <c r="H59" s="1" t="s">
        <v>116</v>
      </c>
      <c r="I59" t="str" cm="1">
        <f t="array" ref="I59">_xlfn.IFS(H59&lt;3,"Poor",H59&lt;=4.4,"Average",H59&lt;=5,"Excellent",TRUE,"N/A")</f>
        <v>N/A</v>
      </c>
    </row>
    <row r="60" spans="1:9" x14ac:dyDescent="0.35">
      <c r="A60" s="1" t="s">
        <v>59</v>
      </c>
      <c r="B60" s="1">
        <v>399</v>
      </c>
      <c r="C60" s="1">
        <v>896</v>
      </c>
      <c r="D60" s="10">
        <v>0.55000000000000004</v>
      </c>
      <c r="E60" s="2" t="str" cm="1">
        <f t="array" ref="E60">_xlfn.IFS(D60&lt;0.2,"Low",D60&lt;=0.4,"Medium",TRUE,"High")</f>
        <v>High</v>
      </c>
      <c r="F60" s="7">
        <f t="shared" si="0"/>
        <v>497</v>
      </c>
      <c r="G60" s="1" t="s">
        <v>115</v>
      </c>
      <c r="H60" s="1" t="s">
        <v>116</v>
      </c>
      <c r="I60" t="str" cm="1">
        <f t="array" ref="I60">_xlfn.IFS(H60&lt;3,"Poor",H60&lt;=4.4,"Average",H60&lt;=5,"Excellent",TRUE,"N/A")</f>
        <v>N/A</v>
      </c>
    </row>
    <row r="61" spans="1:9" x14ac:dyDescent="0.35">
      <c r="A61" s="1" t="s">
        <v>63</v>
      </c>
      <c r="B61" s="5">
        <v>2170</v>
      </c>
      <c r="C61" s="5">
        <v>2500</v>
      </c>
      <c r="D61" s="10">
        <v>0.13</v>
      </c>
      <c r="E61" s="2" t="str" cm="1">
        <f t="array" ref="E61">_xlfn.IFS(D61&lt;0.2,"Low",D61&lt;=0.4,"Medium",TRUE,"High")</f>
        <v>Low</v>
      </c>
      <c r="F61" s="7">
        <f t="shared" si="0"/>
        <v>330</v>
      </c>
      <c r="G61" s="1">
        <v>6</v>
      </c>
      <c r="H61" s="1">
        <v>2.5</v>
      </c>
      <c r="I61" t="str" cm="1">
        <f t="array" ref="I61">_xlfn.IFS(H61&lt;3,"Poor",H61&lt;=4.4,"Average",H61&lt;=5,"Excellent",TRUE,"N/A")</f>
        <v>Poor</v>
      </c>
    </row>
    <row r="62" spans="1:9" x14ac:dyDescent="0.35">
      <c r="A62" s="1" t="s">
        <v>64</v>
      </c>
      <c r="B62" s="1">
        <v>458</v>
      </c>
      <c r="C62" s="1">
        <v>986</v>
      </c>
      <c r="D62" s="10">
        <v>0.54</v>
      </c>
      <c r="E62" s="2" t="str" cm="1">
        <f t="array" ref="E62">_xlfn.IFS(D62&lt;0.2,"Low",D62&lt;=0.4,"Medium",TRUE,"High")</f>
        <v>High</v>
      </c>
      <c r="F62" s="7">
        <f t="shared" si="0"/>
        <v>528</v>
      </c>
      <c r="G62" s="1">
        <v>10</v>
      </c>
      <c r="H62" s="1">
        <v>3</v>
      </c>
      <c r="I62" t="str" cm="1">
        <f t="array" ref="I62">_xlfn.IFS(H62&lt;3,"Poor",H62&lt;=4.4,"Average",H62&lt;=5,"Excellent",TRUE,"N/A")</f>
        <v>Average</v>
      </c>
    </row>
    <row r="63" spans="1:9" x14ac:dyDescent="0.35">
      <c r="A63" s="1" t="s">
        <v>65</v>
      </c>
      <c r="B63" s="5">
        <v>2115</v>
      </c>
      <c r="C63" s="5">
        <v>4700</v>
      </c>
      <c r="D63" s="10">
        <v>0.55000000000000004</v>
      </c>
      <c r="E63" s="2" t="str" cm="1">
        <f t="array" ref="E63">_xlfn.IFS(D63&lt;0.2,"Low",D63&lt;=0.4,"Medium",TRUE,"High")</f>
        <v>High</v>
      </c>
      <c r="F63" s="7">
        <f t="shared" si="0"/>
        <v>2585</v>
      </c>
      <c r="G63" s="1">
        <v>13</v>
      </c>
      <c r="H63" s="1">
        <v>2.1</v>
      </c>
      <c r="I63" t="str" cm="1">
        <f t="array" ref="I63">_xlfn.IFS(H63&lt;3,"Poor",H63&lt;=4.4,"Average",H63&lt;=5,"Excellent",TRUE,"N/A")</f>
        <v>Poor</v>
      </c>
    </row>
    <row r="64" spans="1:9" x14ac:dyDescent="0.35">
      <c r="A64" s="1" t="s">
        <v>66</v>
      </c>
      <c r="B64" s="1">
        <v>445</v>
      </c>
      <c r="C64" s="1">
        <v>873</v>
      </c>
      <c r="D64" s="10">
        <v>0.49</v>
      </c>
      <c r="E64" s="2" t="str" cm="1">
        <f t="array" ref="E64">_xlfn.IFS(D64&lt;0.2,"Low",D64&lt;=0.4,"Medium",TRUE,"High")</f>
        <v>High</v>
      </c>
      <c r="F64" s="7">
        <f t="shared" si="0"/>
        <v>428</v>
      </c>
      <c r="G64" s="1">
        <v>69</v>
      </c>
      <c r="H64" s="1">
        <v>2.8</v>
      </c>
      <c r="I64" t="str" cm="1">
        <f t="array" ref="I64">_xlfn.IFS(H64&lt;3,"Poor",H64&lt;=4.4,"Average",H64&lt;=5,"Excellent",TRUE,"N/A")</f>
        <v>Poor</v>
      </c>
    </row>
    <row r="65" spans="1:9" x14ac:dyDescent="0.35">
      <c r="A65" s="1" t="s">
        <v>67</v>
      </c>
      <c r="B65" s="1">
        <v>325</v>
      </c>
      <c r="C65" s="1">
        <v>680</v>
      </c>
      <c r="D65" s="10">
        <v>0.52</v>
      </c>
      <c r="E65" s="2" t="str" cm="1">
        <f t="array" ref="E65">_xlfn.IFS(D65&lt;0.2,"Low",D65&lt;=0.4,"Medium",TRUE,"High")</f>
        <v>High</v>
      </c>
      <c r="F65" s="7">
        <f t="shared" si="0"/>
        <v>355</v>
      </c>
      <c r="G65" s="1">
        <v>15</v>
      </c>
      <c r="H65" s="1">
        <v>2.7</v>
      </c>
      <c r="I65" t="str" cm="1">
        <f t="array" ref="I65">_xlfn.IFS(H65&lt;3,"Poor",H65&lt;=4.4,"Average",H65&lt;=5,"Excellent",TRUE,"N/A")</f>
        <v>Poor</v>
      </c>
    </row>
    <row r="66" spans="1:9" x14ac:dyDescent="0.35">
      <c r="A66" s="1" t="s">
        <v>68</v>
      </c>
      <c r="B66" s="5">
        <v>1220</v>
      </c>
      <c r="C66" s="5">
        <v>1555</v>
      </c>
      <c r="D66" s="10">
        <v>0.22</v>
      </c>
      <c r="E66" s="2" t="str" cm="1">
        <f t="array" ref="E66">_xlfn.IFS(D66&lt;0.2,"Low",D66&lt;=0.4,"Medium",TRUE,"High")</f>
        <v>Medium</v>
      </c>
      <c r="F66" s="7">
        <f t="shared" si="0"/>
        <v>335</v>
      </c>
      <c r="G66" s="1">
        <v>16</v>
      </c>
      <c r="H66" s="1">
        <v>2.9</v>
      </c>
      <c r="I66" t="str" cm="1">
        <f t="array" ref="I66">_xlfn.IFS(H66&lt;3,"Poor",H66&lt;=4.4,"Average",H66&lt;=5,"Excellent",TRUE,"N/A")</f>
        <v>Poor</v>
      </c>
    </row>
    <row r="67" spans="1:9" x14ac:dyDescent="0.35">
      <c r="A67" s="1" t="s">
        <v>69</v>
      </c>
      <c r="B67" s="1">
        <v>990</v>
      </c>
      <c r="C67" s="5">
        <v>1814</v>
      </c>
      <c r="D67" s="10">
        <v>0.45</v>
      </c>
      <c r="E67" s="2" t="str" cm="1">
        <f t="array" ref="E67">_xlfn.IFS(D67&lt;0.2,"Low",D67&lt;=0.4,"Medium",TRUE,"High")</f>
        <v>High</v>
      </c>
      <c r="F67" s="7">
        <f t="shared" ref="F67:F113" si="1">C67-B67</f>
        <v>824</v>
      </c>
      <c r="G67" s="1">
        <v>6</v>
      </c>
      <c r="H67" s="1">
        <v>2.2000000000000002</v>
      </c>
      <c r="I67" t="str" cm="1">
        <f t="array" ref="I67">_xlfn.IFS(H67&lt;3,"Poor",H67&lt;=4.4,"Average",H67&lt;=5,"Excellent",TRUE,"N/A")</f>
        <v>Poor</v>
      </c>
    </row>
    <row r="68" spans="1:9" x14ac:dyDescent="0.35">
      <c r="A68" s="1" t="s">
        <v>70</v>
      </c>
      <c r="B68" s="5">
        <v>1000</v>
      </c>
      <c r="C68" s="5">
        <v>2000</v>
      </c>
      <c r="D68" s="10">
        <v>0.5</v>
      </c>
      <c r="E68" s="2" t="str" cm="1">
        <f t="array" ref="E68">_xlfn.IFS(D68&lt;0.2,"Low",D68&lt;=0.4,"Medium",TRUE,"High")</f>
        <v>High</v>
      </c>
      <c r="F68" s="7">
        <f t="shared" si="1"/>
        <v>1000</v>
      </c>
      <c r="G68" s="1">
        <v>7</v>
      </c>
      <c r="H68" s="1">
        <v>2.2999999999999998</v>
      </c>
      <c r="I68" t="str" cm="1">
        <f t="array" ref="I68">_xlfn.IFS(H68&lt;3,"Poor",H68&lt;=4.4,"Average",H68&lt;=5,"Excellent",TRUE,"N/A")</f>
        <v>Poor</v>
      </c>
    </row>
    <row r="69" spans="1:9" x14ac:dyDescent="0.35">
      <c r="A69" s="1" t="s">
        <v>71</v>
      </c>
      <c r="B69" s="5">
        <v>3750</v>
      </c>
      <c r="C69" s="5">
        <v>6143</v>
      </c>
      <c r="D69" s="10">
        <v>0.39</v>
      </c>
      <c r="E69" s="2" t="str" cm="1">
        <f t="array" ref="E69">_xlfn.IFS(D69&lt;0.2,"Low",D69&lt;=0.4,"Medium",TRUE,"High")</f>
        <v>Medium</v>
      </c>
      <c r="F69" s="7">
        <f t="shared" si="1"/>
        <v>2393</v>
      </c>
      <c r="G69" s="1">
        <v>5</v>
      </c>
      <c r="H69" s="1">
        <v>3</v>
      </c>
      <c r="I69" t="str" cm="1">
        <f t="array" ref="I69">_xlfn.IFS(H69&lt;3,"Poor",H69&lt;=4.4,"Average",H69&lt;=5,"Excellent",TRUE,"N/A")</f>
        <v>Average</v>
      </c>
    </row>
    <row r="70" spans="1:9" x14ac:dyDescent="0.35">
      <c r="A70" s="1" t="s">
        <v>72</v>
      </c>
      <c r="B70" s="1">
        <v>382</v>
      </c>
      <c r="C70" s="1">
        <v>700</v>
      </c>
      <c r="D70" s="10">
        <v>0.45</v>
      </c>
      <c r="E70" s="2" t="str" cm="1">
        <f t="array" ref="E70">_xlfn.IFS(D70&lt;0.2,"Low",D70&lt;=0.4,"Medium",TRUE,"High")</f>
        <v>High</v>
      </c>
      <c r="F70" s="7">
        <f t="shared" si="1"/>
        <v>318</v>
      </c>
      <c r="G70" s="1">
        <v>17</v>
      </c>
      <c r="H70" s="1">
        <v>2.6</v>
      </c>
      <c r="I70" t="str" cm="1">
        <f t="array" ref="I70">_xlfn.IFS(H70&lt;3,"Poor",H70&lt;=4.4,"Average",H70&lt;=5,"Excellent",TRUE,"N/A")</f>
        <v>Poor</v>
      </c>
    </row>
    <row r="71" spans="1:9" x14ac:dyDescent="0.35">
      <c r="A71" s="1" t="s">
        <v>73</v>
      </c>
      <c r="B71" s="5">
        <v>2300</v>
      </c>
      <c r="C71" s="5">
        <v>3240</v>
      </c>
      <c r="D71" s="10">
        <v>0.28999999999999998</v>
      </c>
      <c r="E71" s="2" t="str" cm="1">
        <f t="array" ref="E71">_xlfn.IFS(D71&lt;0.2,"Low",D71&lt;=0.4,"Medium",TRUE,"High")</f>
        <v>Medium</v>
      </c>
      <c r="F71" s="7">
        <f t="shared" si="1"/>
        <v>940</v>
      </c>
      <c r="G71" s="1">
        <v>5</v>
      </c>
      <c r="H71" s="1">
        <v>3</v>
      </c>
      <c r="I71" t="str" cm="1">
        <f t="array" ref="I71">_xlfn.IFS(H71&lt;3,"Poor",H71&lt;=4.4,"Average",H71&lt;=5,"Excellent",TRUE,"N/A")</f>
        <v>Average</v>
      </c>
    </row>
    <row r="72" spans="1:9" x14ac:dyDescent="0.35">
      <c r="A72" s="1" t="s">
        <v>74</v>
      </c>
      <c r="B72" s="1">
        <v>345</v>
      </c>
      <c r="C72" s="1">
        <v>602</v>
      </c>
      <c r="D72" s="10">
        <v>0.43</v>
      </c>
      <c r="E72" s="2" t="str" cm="1">
        <f t="array" ref="E72">_xlfn.IFS(D72&lt;0.2,"Low",D72&lt;=0.4,"Medium",TRUE,"High")</f>
        <v>High</v>
      </c>
      <c r="F72" s="7">
        <f t="shared" si="1"/>
        <v>257</v>
      </c>
      <c r="G72" s="1">
        <v>6</v>
      </c>
      <c r="H72" s="1">
        <v>2.2999999999999998</v>
      </c>
      <c r="I72" t="str" cm="1">
        <f t="array" ref="I72">_xlfn.IFS(H72&lt;3,"Poor",H72&lt;=4.4,"Average",H72&lt;=5,"Excellent",TRUE,"N/A")</f>
        <v>Poor</v>
      </c>
    </row>
    <row r="73" spans="1:9" x14ac:dyDescent="0.35">
      <c r="A73" s="1" t="s">
        <v>75</v>
      </c>
      <c r="B73" s="1">
        <v>509</v>
      </c>
      <c r="C73" s="1">
        <v>899</v>
      </c>
      <c r="D73" s="10">
        <v>0.43</v>
      </c>
      <c r="E73" s="2" t="str" cm="1">
        <f t="array" ref="E73">_xlfn.IFS(D73&lt;0.2,"Low",D73&lt;=0.4,"Medium",TRUE,"High")</f>
        <v>High</v>
      </c>
      <c r="F73" s="7">
        <f t="shared" si="1"/>
        <v>390</v>
      </c>
      <c r="G73" s="1">
        <v>5</v>
      </c>
      <c r="H73" s="1">
        <v>3</v>
      </c>
      <c r="I73" t="str" cm="1">
        <f t="array" ref="I73">_xlfn.IFS(H73&lt;3,"Poor",H73&lt;=4.4,"Average",H73&lt;=5,"Excellent",TRUE,"N/A")</f>
        <v>Average</v>
      </c>
    </row>
    <row r="74" spans="1:9" x14ac:dyDescent="0.35">
      <c r="A74" s="1" t="s">
        <v>76</v>
      </c>
      <c r="B74" s="1">
        <v>968</v>
      </c>
      <c r="C74" s="5">
        <v>1814</v>
      </c>
      <c r="D74" s="10">
        <v>0.47</v>
      </c>
      <c r="E74" s="2" t="str" cm="1">
        <f t="array" ref="E74">_xlfn.IFS(D74&lt;0.2,"Low",D74&lt;=0.4,"Medium",TRUE,"High")</f>
        <v>High</v>
      </c>
      <c r="F74" s="7">
        <f t="shared" si="1"/>
        <v>846</v>
      </c>
      <c r="G74" s="1">
        <v>6</v>
      </c>
      <c r="H74" s="1">
        <v>2.2000000000000002</v>
      </c>
      <c r="I74" t="str" cm="1">
        <f t="array" ref="I74">_xlfn.IFS(H74&lt;3,"Poor",H74&lt;=4.4,"Average",H74&lt;=5,"Excellent",TRUE,"N/A")</f>
        <v>Poor</v>
      </c>
    </row>
    <row r="75" spans="1:9" x14ac:dyDescent="0.35">
      <c r="A75" s="1" t="s">
        <v>77</v>
      </c>
      <c r="B75" s="5">
        <v>1570</v>
      </c>
      <c r="C75" s="5">
        <v>2988</v>
      </c>
      <c r="D75" s="10">
        <v>0.47</v>
      </c>
      <c r="E75" s="2" t="str" cm="1">
        <f t="array" ref="E75">_xlfn.IFS(D75&lt;0.2,"Low",D75&lt;=0.4,"Medium",TRUE,"High")</f>
        <v>High</v>
      </c>
      <c r="F75" s="7">
        <f t="shared" si="1"/>
        <v>1418</v>
      </c>
      <c r="G75" s="1">
        <v>7</v>
      </c>
      <c r="H75" s="1">
        <v>2.1</v>
      </c>
      <c r="I75" t="str" cm="1">
        <f t="array" ref="I75">_xlfn.IFS(H75&lt;3,"Poor",H75&lt;=4.4,"Average",H75&lt;=5,"Excellent",TRUE,"N/A")</f>
        <v>Poor</v>
      </c>
    </row>
    <row r="76" spans="1:9" x14ac:dyDescent="0.35">
      <c r="A76" s="1" t="s">
        <v>78</v>
      </c>
      <c r="B76" s="1">
        <v>790</v>
      </c>
      <c r="C76" s="5">
        <v>1485</v>
      </c>
      <c r="D76" s="10">
        <v>0.47</v>
      </c>
      <c r="E76" s="2" t="str" cm="1">
        <f t="array" ref="E76">_xlfn.IFS(D76&lt;0.2,"Low",D76&lt;=0.4,"Medium",TRUE,"High")</f>
        <v>High</v>
      </c>
      <c r="F76" s="7">
        <f t="shared" si="1"/>
        <v>695</v>
      </c>
      <c r="G76" s="1" t="s">
        <v>115</v>
      </c>
      <c r="H76" s="1" t="s">
        <v>116</v>
      </c>
      <c r="I76" t="str" cm="1">
        <f t="array" ref="I76">_xlfn.IFS(H76&lt;3,"Poor",H76&lt;=4.4,"Average",H76&lt;=5,"Excellent",TRUE,"N/A")</f>
        <v>N/A</v>
      </c>
    </row>
    <row r="77" spans="1:9" x14ac:dyDescent="0.35">
      <c r="A77" s="1" t="s">
        <v>79</v>
      </c>
      <c r="B77" s="1">
        <v>690</v>
      </c>
      <c r="C77" s="5">
        <v>1200</v>
      </c>
      <c r="D77" s="10">
        <v>0.43</v>
      </c>
      <c r="E77" s="2" t="str" cm="1">
        <f t="array" ref="E77">_xlfn.IFS(D77&lt;0.2,"Low",D77&lt;=0.4,"Medium",TRUE,"High")</f>
        <v>High</v>
      </c>
      <c r="F77" s="7">
        <f t="shared" si="1"/>
        <v>510</v>
      </c>
      <c r="G77" s="1" t="s">
        <v>115</v>
      </c>
      <c r="H77" s="1" t="s">
        <v>116</v>
      </c>
      <c r="I77" t="str" cm="1">
        <f t="array" ref="I77">_xlfn.IFS(H77&lt;3,"Poor",H77&lt;=4.4,"Average",H77&lt;=5,"Excellent",TRUE,"N/A")</f>
        <v>N/A</v>
      </c>
    </row>
    <row r="78" spans="1:9" x14ac:dyDescent="0.35">
      <c r="A78" s="1" t="s">
        <v>80</v>
      </c>
      <c r="B78" s="5">
        <v>1732</v>
      </c>
      <c r="C78" s="5">
        <v>1799</v>
      </c>
      <c r="D78" s="10">
        <v>0.04</v>
      </c>
      <c r="E78" s="2" t="str" cm="1">
        <f t="array" ref="E78">_xlfn.IFS(D78&lt;0.2,"Low",D78&lt;=0.4,"Medium",TRUE,"High")</f>
        <v>Low</v>
      </c>
      <c r="F78" s="7">
        <f t="shared" si="1"/>
        <v>67</v>
      </c>
      <c r="G78" s="1" t="s">
        <v>115</v>
      </c>
      <c r="H78" s="1" t="s">
        <v>116</v>
      </c>
      <c r="I78" t="str" cm="1">
        <f t="array" ref="I78">_xlfn.IFS(H78&lt;3,"Poor",H78&lt;=4.4,"Average",H78&lt;=5,"Excellent",TRUE,"N/A")</f>
        <v>N/A</v>
      </c>
    </row>
    <row r="79" spans="1:9" x14ac:dyDescent="0.35">
      <c r="A79" s="1" t="s">
        <v>81</v>
      </c>
      <c r="B79" s="1">
        <v>230</v>
      </c>
      <c r="C79" s="1">
        <v>450</v>
      </c>
      <c r="D79" s="10">
        <v>0.49</v>
      </c>
      <c r="E79" s="2" t="str" cm="1">
        <f t="array" ref="E79">_xlfn.IFS(D79&lt;0.2,"Low",D79&lt;=0.4,"Medium",TRUE,"High")</f>
        <v>High</v>
      </c>
      <c r="F79" s="7">
        <f t="shared" si="1"/>
        <v>220</v>
      </c>
      <c r="G79" s="1" t="s">
        <v>115</v>
      </c>
      <c r="H79" s="1" t="s">
        <v>116</v>
      </c>
      <c r="I79" t="str" cm="1">
        <f t="array" ref="I79">_xlfn.IFS(H79&lt;3,"Poor",H79&lt;=4.4,"Average",H79&lt;=5,"Excellent",TRUE,"N/A")</f>
        <v>N/A</v>
      </c>
    </row>
    <row r="80" spans="1:9" x14ac:dyDescent="0.35">
      <c r="A80" s="1" t="s">
        <v>82</v>
      </c>
      <c r="B80" s="5">
        <v>1189</v>
      </c>
      <c r="C80" s="5">
        <v>2199</v>
      </c>
      <c r="D80" s="10">
        <v>0.46</v>
      </c>
      <c r="E80" s="2" t="str" cm="1">
        <f t="array" ref="E80">_xlfn.IFS(D80&lt;0.2,"Low",D80&lt;=0.4,"Medium",TRUE,"High")</f>
        <v>High</v>
      </c>
      <c r="F80" s="7">
        <f t="shared" si="1"/>
        <v>1010</v>
      </c>
      <c r="G80" s="1">
        <v>1</v>
      </c>
      <c r="H80" s="1">
        <v>3</v>
      </c>
      <c r="I80" t="str" cm="1">
        <f t="array" ref="I80">_xlfn.IFS(H80&lt;3,"Poor",H80&lt;=4.4,"Average",H80&lt;=5,"Excellent",TRUE,"N/A")</f>
        <v>Average</v>
      </c>
    </row>
    <row r="81" spans="1:9" x14ac:dyDescent="0.35">
      <c r="A81" s="1" t="s">
        <v>83</v>
      </c>
      <c r="B81" s="1">
        <v>979</v>
      </c>
      <c r="C81" s="5">
        <v>1920</v>
      </c>
      <c r="D81" s="10">
        <v>0.49</v>
      </c>
      <c r="E81" s="2" t="str" cm="1">
        <f t="array" ref="E81">_xlfn.IFS(D81&lt;0.2,"Low",D81&lt;=0.4,"Medium",TRUE,"High")</f>
        <v>High</v>
      </c>
      <c r="F81" s="7">
        <f t="shared" si="1"/>
        <v>941</v>
      </c>
      <c r="G81" s="1">
        <v>1</v>
      </c>
      <c r="H81" s="1">
        <v>5</v>
      </c>
      <c r="I81" t="str" cm="1">
        <f t="array" ref="I81">_xlfn.IFS(H81&lt;3,"Poor",H81&lt;=4.4,"Average",H81&lt;=5,"Excellent",TRUE,"N/A")</f>
        <v>Excellent</v>
      </c>
    </row>
    <row r="82" spans="1:9" x14ac:dyDescent="0.35">
      <c r="A82" s="1" t="s">
        <v>84</v>
      </c>
      <c r="B82" s="5">
        <v>1460</v>
      </c>
      <c r="C82" s="5">
        <v>2290</v>
      </c>
      <c r="D82" s="10">
        <v>0.36</v>
      </c>
      <c r="E82" s="2" t="str" cm="1">
        <f t="array" ref="E82">_xlfn.IFS(D82&lt;0.2,"Low",D82&lt;=0.4,"Medium",TRUE,"High")</f>
        <v>Medium</v>
      </c>
      <c r="F82" s="7">
        <f t="shared" si="1"/>
        <v>830</v>
      </c>
      <c r="G82" s="1" t="s">
        <v>115</v>
      </c>
      <c r="H82" s="1" t="s">
        <v>116</v>
      </c>
      <c r="I82" t="str" cm="1">
        <f t="array" ref="I82">_xlfn.IFS(H82&lt;3,"Poor",H82&lt;=4.4,"Average",H82&lt;=5,"Excellent",TRUE,"N/A")</f>
        <v>N/A</v>
      </c>
    </row>
    <row r="83" spans="1:9" x14ac:dyDescent="0.35">
      <c r="A83" s="1" t="s">
        <v>85</v>
      </c>
      <c r="B83" s="5">
        <v>1666</v>
      </c>
      <c r="C83" s="5">
        <v>1699</v>
      </c>
      <c r="D83" s="10">
        <v>0.02</v>
      </c>
      <c r="E83" s="2" t="str" cm="1">
        <f t="array" ref="E83">_xlfn.IFS(D83&lt;0.2,"Low",D83&lt;=0.4,"Medium",TRUE,"High")</f>
        <v>Low</v>
      </c>
      <c r="F83" s="7">
        <f t="shared" si="1"/>
        <v>33</v>
      </c>
      <c r="G83" s="1" t="s">
        <v>115</v>
      </c>
      <c r="H83" s="1" t="s">
        <v>116</v>
      </c>
      <c r="I83" t="str" cm="1">
        <f t="array" ref="I83">_xlfn.IFS(H83&lt;3,"Poor",H83&lt;=4.4,"Average",H83&lt;=5,"Excellent",TRUE,"N/A")</f>
        <v>N/A</v>
      </c>
    </row>
    <row r="84" spans="1:9" x14ac:dyDescent="0.35">
      <c r="A84" s="1" t="s">
        <v>86</v>
      </c>
      <c r="B84" s="1">
        <v>330</v>
      </c>
      <c r="C84" s="1">
        <v>647</v>
      </c>
      <c r="D84" s="10">
        <v>0.49</v>
      </c>
      <c r="E84" s="2" t="str" cm="1">
        <f t="array" ref="E84">_xlfn.IFS(D84&lt;0.2,"Low",D84&lt;=0.4,"Medium",TRUE,"High")</f>
        <v>High</v>
      </c>
      <c r="F84" s="7">
        <f t="shared" si="1"/>
        <v>317</v>
      </c>
      <c r="G84" s="1">
        <v>1</v>
      </c>
      <c r="H84" s="1">
        <v>4</v>
      </c>
      <c r="I84" t="str" cm="1">
        <f t="array" ref="I84">_xlfn.IFS(H84&lt;3,"Poor",H84&lt;=4.4,"Average",H84&lt;=5,"Excellent",TRUE,"N/A")</f>
        <v>Average</v>
      </c>
    </row>
    <row r="85" spans="1:9" x14ac:dyDescent="0.35">
      <c r="A85" s="1" t="s">
        <v>53</v>
      </c>
      <c r="B85" s="1">
        <v>176</v>
      </c>
      <c r="C85" s="1">
        <v>345</v>
      </c>
      <c r="D85" s="10">
        <v>0.49</v>
      </c>
      <c r="E85" s="2" t="str" cm="1">
        <f t="array" ref="E85">_xlfn.IFS(D85&lt;0.2,"Low",D85&lt;=0.4,"Medium",TRUE,"High")</f>
        <v>High</v>
      </c>
      <c r="F85" s="7">
        <f t="shared" si="1"/>
        <v>169</v>
      </c>
      <c r="G85" s="1" t="s">
        <v>115</v>
      </c>
      <c r="H85" s="1" t="s">
        <v>116</v>
      </c>
      <c r="I85" t="str" cm="1">
        <f t="array" ref="I85">_xlfn.IFS(H85&lt;3,"Poor",H85&lt;=4.4,"Average",H85&lt;=5,"Excellent",TRUE,"N/A")</f>
        <v>N/A</v>
      </c>
    </row>
    <row r="86" spans="1:9" x14ac:dyDescent="0.35">
      <c r="A86" s="1" t="s">
        <v>87</v>
      </c>
      <c r="B86" s="5">
        <v>1466</v>
      </c>
      <c r="C86" s="5">
        <v>1699</v>
      </c>
      <c r="D86" s="10">
        <v>0.14000000000000001</v>
      </c>
      <c r="E86" s="2" t="str" cm="1">
        <f t="array" ref="E86">_xlfn.IFS(D86&lt;0.2,"Low",D86&lt;=0.4,"Medium",TRUE,"High")</f>
        <v>Low</v>
      </c>
      <c r="F86" s="7">
        <f t="shared" si="1"/>
        <v>233</v>
      </c>
      <c r="G86" s="1" t="s">
        <v>115</v>
      </c>
      <c r="H86" s="1" t="s">
        <v>116</v>
      </c>
      <c r="I86" t="str" cm="1">
        <f t="array" ref="I86">_xlfn.IFS(H86&lt;3,"Poor",H86&lt;=4.4,"Average",H86&lt;=5,"Excellent",TRUE,"N/A")</f>
        <v>N/A</v>
      </c>
    </row>
    <row r="87" spans="1:9" x14ac:dyDescent="0.35">
      <c r="A87" s="1" t="s">
        <v>88</v>
      </c>
      <c r="B87" s="1">
        <v>274</v>
      </c>
      <c r="C87" s="1">
        <v>537</v>
      </c>
      <c r="D87" s="10">
        <v>0.49</v>
      </c>
      <c r="E87" s="2" t="str" cm="1">
        <f t="array" ref="E87">_xlfn.IFS(D87&lt;0.2,"Low",D87&lt;=0.4,"Medium",TRUE,"High")</f>
        <v>High</v>
      </c>
      <c r="F87" s="7">
        <f t="shared" si="1"/>
        <v>263</v>
      </c>
      <c r="G87" s="1" t="s">
        <v>115</v>
      </c>
      <c r="H87" s="1" t="s">
        <v>116</v>
      </c>
      <c r="I87" t="str" cm="1">
        <f t="array" ref="I87">_xlfn.IFS(H87&lt;3,"Poor",H87&lt;=4.4,"Average",H87&lt;=5,"Excellent",TRUE,"N/A")</f>
        <v>N/A</v>
      </c>
    </row>
    <row r="88" spans="1:9" x14ac:dyDescent="0.35">
      <c r="A88" s="1" t="s">
        <v>89</v>
      </c>
      <c r="B88" s="1">
        <v>799</v>
      </c>
      <c r="C88" s="1">
        <v>900</v>
      </c>
      <c r="D88" s="10">
        <v>0.11</v>
      </c>
      <c r="E88" s="2" t="str" cm="1">
        <f t="array" ref="E88">_xlfn.IFS(D88&lt;0.2,"Low",D88&lt;=0.4,"Medium",TRUE,"High")</f>
        <v>Low</v>
      </c>
      <c r="F88" s="7">
        <f t="shared" si="1"/>
        <v>101</v>
      </c>
      <c r="G88" s="1" t="s">
        <v>115</v>
      </c>
      <c r="H88" s="1" t="s">
        <v>116</v>
      </c>
      <c r="I88" t="str" cm="1">
        <f t="array" ref="I88">_xlfn.IFS(H88&lt;3,"Poor",H88&lt;=4.4,"Average",H88&lt;=5,"Excellent",TRUE,"N/A")</f>
        <v>N/A</v>
      </c>
    </row>
    <row r="89" spans="1:9" x14ac:dyDescent="0.35">
      <c r="A89" s="1" t="s">
        <v>61</v>
      </c>
      <c r="B89" s="1">
        <v>657</v>
      </c>
      <c r="C89" s="5">
        <v>1288</v>
      </c>
      <c r="D89" s="10">
        <v>0.49</v>
      </c>
      <c r="E89" s="2" t="str" cm="1">
        <f t="array" ref="E89">_xlfn.IFS(D89&lt;0.2,"Low",D89&lt;=0.4,"Medium",TRUE,"High")</f>
        <v>High</v>
      </c>
      <c r="F89" s="7">
        <f t="shared" si="1"/>
        <v>631</v>
      </c>
      <c r="G89" s="1" t="s">
        <v>115</v>
      </c>
      <c r="H89" s="1" t="s">
        <v>116</v>
      </c>
      <c r="I89" t="str" cm="1">
        <f t="array" ref="I89">_xlfn.IFS(H89&lt;3,"Poor",H89&lt;=4.4,"Average",H89&lt;=5,"Excellent",TRUE,"N/A")</f>
        <v>N/A</v>
      </c>
    </row>
    <row r="90" spans="1:9" x14ac:dyDescent="0.35">
      <c r="A90" s="1" t="s">
        <v>90</v>
      </c>
      <c r="B90" s="5">
        <v>1468</v>
      </c>
      <c r="C90" s="5">
        <v>1699</v>
      </c>
      <c r="D90" s="10">
        <v>0.14000000000000001</v>
      </c>
      <c r="E90" s="2" t="str" cm="1">
        <f t="array" ref="E90">_xlfn.IFS(D90&lt;0.2,"Low",D90&lt;=0.4,"Medium",TRUE,"High")</f>
        <v>Low</v>
      </c>
      <c r="F90" s="7">
        <f t="shared" si="1"/>
        <v>231</v>
      </c>
      <c r="G90" s="1" t="s">
        <v>115</v>
      </c>
      <c r="H90" s="1" t="s">
        <v>116</v>
      </c>
      <c r="I90" t="str" cm="1">
        <f t="array" ref="I90">_xlfn.IFS(H90&lt;3,"Poor",H90&lt;=4.4,"Average",H90&lt;=5,"Excellent",TRUE,"N/A")</f>
        <v>N/A</v>
      </c>
    </row>
    <row r="91" spans="1:9" x14ac:dyDescent="0.35">
      <c r="A91" s="1" t="s">
        <v>91</v>
      </c>
      <c r="B91" s="1">
        <v>630</v>
      </c>
      <c r="C91" s="5">
        <v>1100</v>
      </c>
      <c r="D91" s="10">
        <v>0.43</v>
      </c>
      <c r="E91" s="2" t="str" cm="1">
        <f t="array" ref="E91">_xlfn.IFS(D91&lt;0.2,"Low",D91&lt;=0.4,"Medium",TRUE,"High")</f>
        <v>High</v>
      </c>
      <c r="F91" s="7">
        <f t="shared" si="1"/>
        <v>470</v>
      </c>
      <c r="G91" s="1" t="s">
        <v>115</v>
      </c>
      <c r="H91" s="1" t="s">
        <v>116</v>
      </c>
      <c r="I91" t="str" cm="1">
        <f t="array" ref="I91">_xlfn.IFS(H91&lt;3,"Poor",H91&lt;=4.4,"Average",H91&lt;=5,"Excellent",TRUE,"N/A")</f>
        <v>N/A</v>
      </c>
    </row>
    <row r="92" spans="1:9" x14ac:dyDescent="0.35">
      <c r="A92" s="1" t="s">
        <v>92</v>
      </c>
      <c r="B92" s="1">
        <v>850</v>
      </c>
      <c r="C92" s="5">
        <v>1700</v>
      </c>
      <c r="D92" s="10">
        <v>0.5</v>
      </c>
      <c r="E92" s="2" t="str" cm="1">
        <f t="array" ref="E92">_xlfn.IFS(D92&lt;0.2,"Low",D92&lt;=0.4,"Medium",TRUE,"High")</f>
        <v>High</v>
      </c>
      <c r="F92" s="7">
        <f t="shared" si="1"/>
        <v>850</v>
      </c>
      <c r="G92" s="1" t="s">
        <v>115</v>
      </c>
      <c r="H92" s="1" t="s">
        <v>116</v>
      </c>
      <c r="I92" t="str" cm="1">
        <f t="array" ref="I92">_xlfn.IFS(H92&lt;3,"Poor",H92&lt;=4.4,"Average",H92&lt;=5,"Excellent",TRUE,"N/A")</f>
        <v>N/A</v>
      </c>
    </row>
    <row r="93" spans="1:9" x14ac:dyDescent="0.35">
      <c r="A93" s="1" t="s">
        <v>93</v>
      </c>
      <c r="B93" s="5">
        <v>1300</v>
      </c>
      <c r="C93" s="5">
        <v>2500</v>
      </c>
      <c r="D93" s="10">
        <v>0.48</v>
      </c>
      <c r="E93" s="2" t="str" cm="1">
        <f t="array" ref="E93">_xlfn.IFS(D93&lt;0.2,"Low",D93&lt;=0.4,"Medium",TRUE,"High")</f>
        <v>High</v>
      </c>
      <c r="F93" s="7">
        <f t="shared" si="1"/>
        <v>1200</v>
      </c>
      <c r="G93" s="1" t="s">
        <v>115</v>
      </c>
      <c r="H93" s="1" t="s">
        <v>116</v>
      </c>
      <c r="I93" t="str" cm="1">
        <f t="array" ref="I93">_xlfn.IFS(H93&lt;3,"Poor",H93&lt;=4.4,"Average",H93&lt;=5,"Excellent",TRUE,"N/A")</f>
        <v>N/A</v>
      </c>
    </row>
    <row r="94" spans="1:9" x14ac:dyDescent="0.35">
      <c r="A94" s="1" t="s">
        <v>94</v>
      </c>
      <c r="B94" s="1">
        <v>105</v>
      </c>
      <c r="C94" s="1">
        <v>200</v>
      </c>
      <c r="D94" s="10">
        <v>0.48</v>
      </c>
      <c r="E94" s="2" t="str" cm="1">
        <f t="array" ref="E94">_xlfn.IFS(D94&lt;0.2,"Low",D94&lt;=0.4,"Medium",TRUE,"High")</f>
        <v>High</v>
      </c>
      <c r="F94" s="7">
        <f t="shared" si="1"/>
        <v>95</v>
      </c>
      <c r="G94" s="1" t="s">
        <v>115</v>
      </c>
      <c r="H94" s="1" t="s">
        <v>116</v>
      </c>
      <c r="I94" t="str" cm="1">
        <f t="array" ref="I94">_xlfn.IFS(H94&lt;3,"Poor",H94&lt;=4.4,"Average",H94&lt;=5,"Excellent",TRUE,"N/A")</f>
        <v>N/A</v>
      </c>
    </row>
    <row r="95" spans="1:9" x14ac:dyDescent="0.35">
      <c r="A95" s="1" t="s">
        <v>95</v>
      </c>
      <c r="B95" s="1">
        <v>899</v>
      </c>
      <c r="C95" s="5">
        <v>1699</v>
      </c>
      <c r="D95" s="10">
        <v>0.47</v>
      </c>
      <c r="E95" s="2" t="str" cm="1">
        <f t="array" ref="E95">_xlfn.IFS(D95&lt;0.2,"Low",D95&lt;=0.4,"Medium",TRUE,"High")</f>
        <v>High</v>
      </c>
      <c r="F95" s="7">
        <f t="shared" si="1"/>
        <v>800</v>
      </c>
      <c r="G95" s="1" t="s">
        <v>115</v>
      </c>
      <c r="H95" s="1" t="s">
        <v>116</v>
      </c>
      <c r="I95" t="str" cm="1">
        <f t="array" ref="I95">_xlfn.IFS(H95&lt;3,"Poor",H95&lt;=4.4,"Average",H95&lt;=5,"Excellent",TRUE,"N/A")</f>
        <v>N/A</v>
      </c>
    </row>
    <row r="96" spans="1:9" x14ac:dyDescent="0.35">
      <c r="A96" s="1" t="s">
        <v>96</v>
      </c>
      <c r="B96" s="5">
        <v>1200</v>
      </c>
      <c r="C96" s="5">
        <v>2400</v>
      </c>
      <c r="D96" s="10">
        <v>0.5</v>
      </c>
      <c r="E96" s="2" t="str" cm="1">
        <f t="array" ref="E96">_xlfn.IFS(D96&lt;0.2,"Low",D96&lt;=0.4,"Medium",TRUE,"High")</f>
        <v>High</v>
      </c>
      <c r="F96" s="7">
        <f t="shared" si="1"/>
        <v>1200</v>
      </c>
      <c r="G96" s="1" t="s">
        <v>115</v>
      </c>
      <c r="H96" s="1" t="s">
        <v>116</v>
      </c>
      <c r="I96" t="str" cm="1">
        <f t="array" ref="I96">_xlfn.IFS(H96&lt;3,"Poor",H96&lt;=4.4,"Average",H96&lt;=5,"Excellent",TRUE,"N/A")</f>
        <v>N/A</v>
      </c>
    </row>
    <row r="97" spans="1:9" x14ac:dyDescent="0.35">
      <c r="A97" s="1" t="s">
        <v>97</v>
      </c>
      <c r="B97" s="5">
        <v>1526</v>
      </c>
      <c r="C97" s="5">
        <v>1660</v>
      </c>
      <c r="D97" s="10">
        <v>0.08</v>
      </c>
      <c r="E97" s="2" t="str" cm="1">
        <f t="array" ref="E97">_xlfn.IFS(D97&lt;0.2,"Low",D97&lt;=0.4,"Medium",TRUE,"High")</f>
        <v>Low</v>
      </c>
      <c r="F97" s="7">
        <f t="shared" si="1"/>
        <v>134</v>
      </c>
      <c r="G97" s="1" t="s">
        <v>115</v>
      </c>
      <c r="H97" s="1" t="s">
        <v>116</v>
      </c>
      <c r="I97" t="str" cm="1">
        <f t="array" ref="I97">_xlfn.IFS(H97&lt;3,"Poor",H97&lt;=4.4,"Average",H97&lt;=5,"Excellent",TRUE,"N/A")</f>
        <v>N/A</v>
      </c>
    </row>
    <row r="98" spans="1:9" x14ac:dyDescent="0.35">
      <c r="A98" s="1" t="s">
        <v>98</v>
      </c>
      <c r="B98" s="5">
        <v>1462</v>
      </c>
      <c r="C98" s="5">
        <v>1499</v>
      </c>
      <c r="D98" s="10">
        <v>0.02</v>
      </c>
      <c r="E98" s="2" t="str" cm="1">
        <f t="array" ref="E98">_xlfn.IFS(D98&lt;0.2,"Low",D98&lt;=0.4,"Medium",TRUE,"High")</f>
        <v>Low</v>
      </c>
      <c r="F98" s="7">
        <f t="shared" si="1"/>
        <v>37</v>
      </c>
      <c r="G98" s="1" t="s">
        <v>115</v>
      </c>
      <c r="H98" s="1" t="s">
        <v>116</v>
      </c>
      <c r="I98" t="str" cm="1">
        <f t="array" ref="I98">_xlfn.IFS(H98&lt;3,"Poor",H98&lt;=4.4,"Average",H98&lt;=5,"Excellent",TRUE,"N/A")</f>
        <v>N/A</v>
      </c>
    </row>
    <row r="99" spans="1:9" x14ac:dyDescent="0.35">
      <c r="A99" s="1" t="s">
        <v>99</v>
      </c>
      <c r="B99" s="1">
        <v>248</v>
      </c>
      <c r="C99" s="1">
        <v>486</v>
      </c>
      <c r="D99" s="10">
        <v>0.49</v>
      </c>
      <c r="E99" s="2" t="str" cm="1">
        <f t="array" ref="E99">_xlfn.IFS(D99&lt;0.2,"Low",D99&lt;=0.4,"Medium",TRUE,"High")</f>
        <v>High</v>
      </c>
      <c r="F99" s="7">
        <f t="shared" si="1"/>
        <v>238</v>
      </c>
      <c r="G99" s="1" t="s">
        <v>115</v>
      </c>
      <c r="H99" s="1" t="s">
        <v>116</v>
      </c>
      <c r="I99" t="str" cm="1">
        <f t="array" ref="I99">_xlfn.IFS(H99&lt;3,"Poor",H99&lt;=4.4,"Average",H99&lt;=5,"Excellent",TRUE,"N/A")</f>
        <v>N/A</v>
      </c>
    </row>
    <row r="100" spans="1:9" x14ac:dyDescent="0.35">
      <c r="A100" s="1" t="s">
        <v>100</v>
      </c>
      <c r="B100" s="5">
        <v>3546</v>
      </c>
      <c r="C100" s="5">
        <v>3699</v>
      </c>
      <c r="D100" s="10">
        <v>0.04</v>
      </c>
      <c r="E100" s="2" t="str" cm="1">
        <f t="array" ref="E100">_xlfn.IFS(D100&lt;0.2,"Low",D100&lt;=0.4,"Medium",TRUE,"High")</f>
        <v>Low</v>
      </c>
      <c r="F100" s="7">
        <f t="shared" si="1"/>
        <v>153</v>
      </c>
      <c r="G100" s="1" t="s">
        <v>115</v>
      </c>
      <c r="H100" s="1" t="s">
        <v>116</v>
      </c>
      <c r="I100" t="str" cm="1">
        <f t="array" ref="I100">_xlfn.IFS(H100&lt;3,"Poor",H100&lt;=4.4,"Average",H100&lt;=5,"Excellent",TRUE,"N/A")</f>
        <v>N/A</v>
      </c>
    </row>
    <row r="101" spans="1:9" x14ac:dyDescent="0.35">
      <c r="A101" s="1" t="s">
        <v>101</v>
      </c>
      <c r="B101" s="1">
        <v>525</v>
      </c>
      <c r="C101" s="5">
        <v>1029</v>
      </c>
      <c r="D101" s="10">
        <v>0.49</v>
      </c>
      <c r="E101" s="2" t="str" cm="1">
        <f t="array" ref="E101">_xlfn.IFS(D101&lt;0.2,"Low",D101&lt;=0.4,"Medium",TRUE,"High")</f>
        <v>High</v>
      </c>
      <c r="F101" s="7">
        <f t="shared" si="1"/>
        <v>504</v>
      </c>
      <c r="G101" s="1" t="s">
        <v>115</v>
      </c>
      <c r="H101" s="1" t="s">
        <v>116</v>
      </c>
      <c r="I101" t="str" cm="1">
        <f t="array" ref="I101">_xlfn.IFS(H101&lt;3,"Poor",H101&lt;=4.4,"Average",H101&lt;=5,"Excellent",TRUE,"N/A")</f>
        <v>N/A</v>
      </c>
    </row>
    <row r="102" spans="1:9" x14ac:dyDescent="0.35">
      <c r="A102" s="1" t="s">
        <v>102</v>
      </c>
      <c r="B102" s="5">
        <v>1080</v>
      </c>
      <c r="C102" s="5">
        <v>1874</v>
      </c>
      <c r="D102" s="10">
        <v>0.42</v>
      </c>
      <c r="E102" s="2" t="str" cm="1">
        <f t="array" ref="E102">_xlfn.IFS(D102&lt;0.2,"Low",D102&lt;=0.4,"Medium",TRUE,"High")</f>
        <v>High</v>
      </c>
      <c r="F102" s="7">
        <f t="shared" si="1"/>
        <v>794</v>
      </c>
      <c r="G102" s="1" t="s">
        <v>115</v>
      </c>
      <c r="H102" s="1" t="s">
        <v>116</v>
      </c>
      <c r="I102" t="str" cm="1">
        <f t="array" ref="I102">_xlfn.IFS(H102&lt;3,"Poor",H102&lt;=4.4,"Average",H102&lt;=5,"Excellent",TRUE,"N/A")</f>
        <v>N/A</v>
      </c>
    </row>
    <row r="103" spans="1:9" x14ac:dyDescent="0.35">
      <c r="A103" s="1" t="s">
        <v>103</v>
      </c>
      <c r="B103" s="5">
        <v>3640</v>
      </c>
      <c r="C103" s="5">
        <v>4588</v>
      </c>
      <c r="D103" s="10">
        <v>0.21</v>
      </c>
      <c r="E103" s="2" t="str" cm="1">
        <f t="array" ref="E103">_xlfn.IFS(D103&lt;0.2,"Low",D103&lt;=0.4,"Medium",TRUE,"High")</f>
        <v>Medium</v>
      </c>
      <c r="F103" s="7">
        <f t="shared" si="1"/>
        <v>948</v>
      </c>
      <c r="G103" s="1">
        <v>1</v>
      </c>
      <c r="H103" s="1">
        <v>5</v>
      </c>
      <c r="I103" t="str" cm="1">
        <f t="array" ref="I103">_xlfn.IFS(H103&lt;3,"Poor",H103&lt;=4.4,"Average",H103&lt;=5,"Excellent",TRUE,"N/A")</f>
        <v>Excellent</v>
      </c>
    </row>
    <row r="104" spans="1:9" x14ac:dyDescent="0.35">
      <c r="A104" s="1" t="s">
        <v>104</v>
      </c>
      <c r="B104" s="5">
        <v>1420</v>
      </c>
      <c r="C104" s="5">
        <v>2420</v>
      </c>
      <c r="D104" s="10">
        <v>0.41</v>
      </c>
      <c r="E104" s="2" t="str" cm="1">
        <f t="array" ref="E104">_xlfn.IFS(D104&lt;0.2,"Low",D104&lt;=0.4,"Medium",TRUE,"High")</f>
        <v>High</v>
      </c>
      <c r="F104" s="7">
        <f t="shared" si="1"/>
        <v>1000</v>
      </c>
      <c r="G104" s="1" t="s">
        <v>115</v>
      </c>
      <c r="H104" s="1" t="s">
        <v>116</v>
      </c>
      <c r="I104" t="str" cm="1">
        <f t="array" ref="I104">_xlfn.IFS(H104&lt;3,"Poor",H104&lt;=4.4,"Average",H104&lt;=5,"Excellent",TRUE,"N/A")</f>
        <v>N/A</v>
      </c>
    </row>
    <row r="105" spans="1:9" x14ac:dyDescent="0.35">
      <c r="A105" s="1" t="s">
        <v>105</v>
      </c>
      <c r="B105" s="5">
        <v>1875</v>
      </c>
      <c r="C105" s="5">
        <v>1899</v>
      </c>
      <c r="D105" s="10">
        <v>0.01</v>
      </c>
      <c r="E105" s="2" t="str" cm="1">
        <f t="array" ref="E105">_xlfn.IFS(D105&lt;0.2,"Low",D105&lt;=0.4,"Medium",TRUE,"High")</f>
        <v>Low</v>
      </c>
      <c r="F105" s="7">
        <f t="shared" si="1"/>
        <v>24</v>
      </c>
      <c r="G105" s="1" t="s">
        <v>115</v>
      </c>
      <c r="H105" s="1" t="s">
        <v>116</v>
      </c>
      <c r="I105" t="str" cm="1">
        <f t="array" ref="I105">_xlfn.IFS(H105&lt;3,"Poor",H105&lt;=4.4,"Average",H105&lt;=5,"Excellent",TRUE,"N/A")</f>
        <v>N/A</v>
      </c>
    </row>
    <row r="106" spans="1:9" x14ac:dyDescent="0.35">
      <c r="A106" s="1" t="s">
        <v>106</v>
      </c>
      <c r="B106" s="1">
        <v>198</v>
      </c>
      <c r="C106" s="1">
        <v>260</v>
      </c>
      <c r="D106" s="10">
        <v>0.24</v>
      </c>
      <c r="E106" s="2" t="str" cm="1">
        <f t="array" ref="E106">_xlfn.IFS(D106&lt;0.2,"Low",D106&lt;=0.4,"Medium",TRUE,"High")</f>
        <v>Medium</v>
      </c>
      <c r="F106" s="7">
        <f t="shared" si="1"/>
        <v>62</v>
      </c>
      <c r="G106" s="1" t="s">
        <v>115</v>
      </c>
      <c r="H106" s="1" t="s">
        <v>116</v>
      </c>
      <c r="I106" t="str" cm="1">
        <f t="array" ref="I106">_xlfn.IFS(H106&lt;3,"Poor",H106&lt;=4.4,"Average",H106&lt;=5,"Excellent",TRUE,"N/A")</f>
        <v>N/A</v>
      </c>
    </row>
    <row r="107" spans="1:9" x14ac:dyDescent="0.35">
      <c r="A107" s="1" t="s">
        <v>107</v>
      </c>
      <c r="B107" s="5">
        <v>1150</v>
      </c>
      <c r="C107" s="5">
        <v>1737</v>
      </c>
      <c r="D107" s="10">
        <v>0.34</v>
      </c>
      <c r="E107" s="2" t="str" cm="1">
        <f t="array" ref="E107">_xlfn.IFS(D107&lt;0.2,"Low",D107&lt;=0.4,"Medium",TRUE,"High")</f>
        <v>Medium</v>
      </c>
      <c r="F107" s="7">
        <f t="shared" si="1"/>
        <v>587</v>
      </c>
      <c r="G107" s="1" t="s">
        <v>115</v>
      </c>
      <c r="H107" s="1" t="s">
        <v>116</v>
      </c>
      <c r="I107" t="str" cm="1">
        <f t="array" ref="I107">_xlfn.IFS(H107&lt;3,"Poor",H107&lt;=4.4,"Average",H107&lt;=5,"Excellent",TRUE,"N/A")</f>
        <v>N/A</v>
      </c>
    </row>
    <row r="108" spans="1:9" x14ac:dyDescent="0.35">
      <c r="A108" s="1" t="s">
        <v>108</v>
      </c>
      <c r="B108" s="5">
        <v>1190</v>
      </c>
      <c r="C108" s="5">
        <v>1810</v>
      </c>
      <c r="D108" s="10">
        <v>0.34</v>
      </c>
      <c r="E108" s="2" t="str" cm="1">
        <f t="array" ref="E108">_xlfn.IFS(D108&lt;0.2,"Low",D108&lt;=0.4,"Medium",TRUE,"High")</f>
        <v>Medium</v>
      </c>
      <c r="F108" s="7">
        <f t="shared" si="1"/>
        <v>620</v>
      </c>
      <c r="G108" s="1" t="s">
        <v>115</v>
      </c>
      <c r="H108" s="1" t="s">
        <v>116</v>
      </c>
      <c r="I108" t="str" cm="1">
        <f t="array" ref="I108">_xlfn.IFS(H108&lt;3,"Poor",H108&lt;=4.4,"Average",H108&lt;=5,"Excellent",TRUE,"N/A")</f>
        <v>N/A</v>
      </c>
    </row>
    <row r="109" spans="1:9" x14ac:dyDescent="0.35">
      <c r="A109" s="1" t="s">
        <v>109</v>
      </c>
      <c r="B109" s="5">
        <v>1658</v>
      </c>
      <c r="C109" s="5">
        <v>1699</v>
      </c>
      <c r="D109" s="10">
        <v>0.02</v>
      </c>
      <c r="E109" s="2" t="str" cm="1">
        <f t="array" ref="E109">_xlfn.IFS(D109&lt;0.2,"Low",D109&lt;=0.4,"Medium",TRUE,"High")</f>
        <v>Low</v>
      </c>
      <c r="F109" s="7">
        <f t="shared" si="1"/>
        <v>41</v>
      </c>
      <c r="G109" s="1" t="s">
        <v>115</v>
      </c>
      <c r="H109" s="1" t="s">
        <v>116</v>
      </c>
      <c r="I109" t="str" cm="1">
        <f t="array" ref="I109">_xlfn.IFS(H109&lt;3,"Poor",H109&lt;=4.4,"Average",H109&lt;=5,"Excellent",TRUE,"N/A")</f>
        <v>N/A</v>
      </c>
    </row>
    <row r="110" spans="1:9" x14ac:dyDescent="0.35">
      <c r="A110" s="1" t="s">
        <v>110</v>
      </c>
      <c r="B110" s="5">
        <v>1768</v>
      </c>
      <c r="C110" s="5">
        <v>1799</v>
      </c>
      <c r="D110" s="10">
        <v>0.02</v>
      </c>
      <c r="E110" s="2" t="str" cm="1">
        <f t="array" ref="E110">_xlfn.IFS(D110&lt;0.2,"Low",D110&lt;=0.4,"Medium",TRUE,"High")</f>
        <v>Low</v>
      </c>
      <c r="F110" s="7">
        <f t="shared" si="1"/>
        <v>31</v>
      </c>
      <c r="G110" s="1" t="s">
        <v>115</v>
      </c>
      <c r="H110" s="1" t="s">
        <v>116</v>
      </c>
      <c r="I110" t="str" cm="1">
        <f t="array" ref="I110">_xlfn.IFS(H110&lt;3,"Poor",H110&lt;=4.4,"Average",H110&lt;=5,"Excellent",TRUE,"N/A")</f>
        <v>N/A</v>
      </c>
    </row>
    <row r="111" spans="1:9" x14ac:dyDescent="0.35">
      <c r="A111" s="1" t="s">
        <v>111</v>
      </c>
      <c r="B111" s="1">
        <v>199</v>
      </c>
      <c r="C111" s="1">
        <v>553</v>
      </c>
      <c r="D111" s="10">
        <v>0.64</v>
      </c>
      <c r="E111" s="2" t="str" cm="1">
        <f t="array" ref="E111">_xlfn.IFS(D111&lt;0.2,"Low",D111&lt;=0.4,"Medium",TRUE,"High")</f>
        <v>High</v>
      </c>
      <c r="F111" s="7">
        <f t="shared" si="1"/>
        <v>354</v>
      </c>
      <c r="G111" s="1" t="s">
        <v>115</v>
      </c>
      <c r="H111" s="1" t="s">
        <v>116</v>
      </c>
      <c r="I111" t="str" cm="1">
        <f t="array" ref="I111">_xlfn.IFS(H111&lt;3,"Poor",H111&lt;=4.4,"Average",H111&lt;=5,"Excellent",TRUE,"N/A")</f>
        <v>N/A</v>
      </c>
    </row>
    <row r="112" spans="1:9" x14ac:dyDescent="0.35">
      <c r="A112" s="1" t="s">
        <v>112</v>
      </c>
      <c r="B112" s="1">
        <v>450</v>
      </c>
      <c r="C112" s="1">
        <v>900</v>
      </c>
      <c r="D112" s="10">
        <v>0.5</v>
      </c>
      <c r="E112" s="2" t="str" cm="1">
        <f t="array" ref="E112">_xlfn.IFS(D112&lt;0.2,"Low",D112&lt;=0.4,"Medium",TRUE,"High")</f>
        <v>High</v>
      </c>
      <c r="F112" s="7">
        <f t="shared" si="1"/>
        <v>450</v>
      </c>
      <c r="G112" s="1">
        <v>1</v>
      </c>
      <c r="H112" s="1">
        <v>2</v>
      </c>
      <c r="I112" t="str" cm="1">
        <f t="array" ref="I112">_xlfn.IFS(H112&lt;3,"Poor",H112&lt;=4.4,"Average",H112&lt;=5,"Excellent",TRUE,"N/A")</f>
        <v>Poor</v>
      </c>
    </row>
    <row r="113" spans="1:9" x14ac:dyDescent="0.35">
      <c r="A113" s="1" t="s">
        <v>113</v>
      </c>
      <c r="B113" s="1">
        <v>169</v>
      </c>
      <c r="C113" s="1">
        <v>320</v>
      </c>
      <c r="D113" s="10">
        <v>0.47</v>
      </c>
      <c r="E113" s="2" t="str" cm="1">
        <f t="array" ref="E113">_xlfn.IFS(D113&lt;0.2,"Low",D113&lt;=0.4,"Medium",TRUE,"High")</f>
        <v>High</v>
      </c>
      <c r="F113" s="7">
        <f t="shared" si="1"/>
        <v>151</v>
      </c>
      <c r="G113" s="1" t="s">
        <v>115</v>
      </c>
      <c r="H113" s="1" t="s">
        <v>116</v>
      </c>
      <c r="I113" t="str" cm="1">
        <f t="array" ref="I113">_xlfn.IFS(H113&lt;3,"Poor",H113&lt;=4.4,"Average",H113&lt;=5,"Excellent",TRUE,"N/A")</f>
        <v>N/A</v>
      </c>
    </row>
    <row r="114" spans="1:9" x14ac:dyDescent="0.35">
      <c r="A114" s="1" t="s">
        <v>121</v>
      </c>
      <c r="B114" s="1">
        <f>SUBTOTAL(101,Table3[Current price])</f>
        <v>1186.8928571428571</v>
      </c>
      <c r="C114" s="1">
        <f>SUBTOTAL(101,Table3[old price])</f>
        <v>1811.1071428571429</v>
      </c>
      <c r="D114" s="10">
        <f>SUBTOTAL(101,Table3[Discount])</f>
        <v>0.36776785714285715</v>
      </c>
      <c r="E114" s="2"/>
      <c r="F114" s="1"/>
      <c r="G114" s="1"/>
      <c r="H114" s="1">
        <f>SUBTOTAL(101,Table3[Ratings])</f>
        <v>3.8894736842105258</v>
      </c>
    </row>
    <row r="115" spans="1:9" x14ac:dyDescent="0.35">
      <c r="A115" s="1"/>
      <c r="B115" s="1"/>
      <c r="C115" s="1"/>
      <c r="D115" s="10"/>
      <c r="E115" s="2"/>
      <c r="F115" s="1"/>
      <c r="G115" s="1"/>
      <c r="H115" s="1"/>
    </row>
    <row r="116" spans="1:9" x14ac:dyDescent="0.35">
      <c r="A116" s="1"/>
      <c r="B116" s="1"/>
      <c r="C116" s="1"/>
      <c r="D116" s="10"/>
      <c r="E116" s="2"/>
      <c r="F116" s="1"/>
      <c r="G116" s="1"/>
      <c r="H116" s="1"/>
    </row>
    <row r="117" spans="1:9" x14ac:dyDescent="0.35">
      <c r="A117" t="s">
        <v>122</v>
      </c>
      <c r="B117" t="str">
        <f>_xlfn.XLOOKUP(MAX(B2:B113),B2:B113,A2:A113)</f>
        <v>32PCS Portable Cordless Drill Set With Cyclic Battery Drive -26 Variable Speed</v>
      </c>
    </row>
    <row r="118" spans="1:9" x14ac:dyDescent="0.35">
      <c r="A118" t="s">
        <v>123</v>
      </c>
      <c r="B118" t="str">
        <f>_xlfn.XLOOKUP(MIN(B2:B113),B2:B113,A2:A113)</f>
        <v>3PCS Single Head Knitting Crochet Sweater Needle Set</v>
      </c>
    </row>
    <row r="121" spans="1:9" x14ac:dyDescent="0.35">
      <c r="A121" t="s">
        <v>126</v>
      </c>
      <c r="B121" s="12" t="s">
        <v>124</v>
      </c>
      <c r="C121" s="12" t="s">
        <v>120</v>
      </c>
      <c r="D121" s="13" t="s">
        <v>125</v>
      </c>
    </row>
    <row r="122" spans="1:9" x14ac:dyDescent="0.35">
      <c r="B122">
        <f>AVERAGEIF(E2:E113,"High",D2:D113)</f>
        <v>0.48338709677419334</v>
      </c>
      <c r="C122">
        <f>AVERAGEIF(E2:E113,"medium",D2:D113)</f>
        <v>0.30999999999999994</v>
      </c>
      <c r="D122" s="11">
        <f>AVERAGEIF(E2:E113,"low",D2:D113)</f>
        <v>7.2222222222222243E-2</v>
      </c>
    </row>
    <row r="125" spans="1:9" x14ac:dyDescent="0.35">
      <c r="A125" t="s">
        <v>127</v>
      </c>
      <c r="B125" s="12" t="s">
        <v>124</v>
      </c>
      <c r="C125" s="12" t="s">
        <v>120</v>
      </c>
      <c r="D125" s="13" t="s">
        <v>125</v>
      </c>
    </row>
    <row r="126" spans="1:9" x14ac:dyDescent="0.35">
      <c r="B126">
        <f>AVERAGEIF(E2:E113,"High",H2:H113)</f>
        <v>3.6133333333333324</v>
      </c>
      <c r="C126">
        <f>AVERAGEIF(E2:E113,"medium",H2:H113)</f>
        <v>4.2782608695652184</v>
      </c>
      <c r="D126" s="11">
        <f>AVERAGEIF(E2:E113,"low",H2:H113)</f>
        <v>3.7249999999999996</v>
      </c>
    </row>
    <row r="129" spans="1:5" x14ac:dyDescent="0.35">
      <c r="A129" t="s">
        <v>128</v>
      </c>
      <c r="B129" s="12" t="s">
        <v>129</v>
      </c>
      <c r="C129" s="12" t="s">
        <v>130</v>
      </c>
      <c r="D129" s="13" t="s">
        <v>131</v>
      </c>
      <c r="E129" s="12" t="s">
        <v>116</v>
      </c>
    </row>
    <row r="130" spans="1:5" x14ac:dyDescent="0.35">
      <c r="B130" s="8">
        <f>COUNTIF(I2:I113,"excellent")</f>
        <v>23</v>
      </c>
      <c r="C130" s="8">
        <f>COUNTIF(I2:I113,"Average")</f>
        <v>22</v>
      </c>
      <c r="D130" s="8">
        <f>COUNTIF(I2:I113,"poor")</f>
        <v>12</v>
      </c>
      <c r="E130" s="8">
        <f>COUNTIF(I2:I113,"N/A")</f>
        <v>55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05B68-F046-4E61-AD33-8BA0BDCB65EE}">
  <dimension ref="B10:F31"/>
  <sheetViews>
    <sheetView showGridLines="0" tabSelected="1" zoomScale="60" zoomScaleNormal="60" workbookViewId="0">
      <selection activeCell="E36" sqref="E36:E37"/>
    </sheetView>
  </sheetViews>
  <sheetFormatPr defaultRowHeight="14.5" x14ac:dyDescent="0.35"/>
  <cols>
    <col min="2" max="2" width="59.26953125" bestFit="1" customWidth="1"/>
    <col min="3" max="3" width="15.81640625" bestFit="1" customWidth="1"/>
    <col min="4" max="4" width="1.1796875" customWidth="1"/>
    <col min="5" max="5" width="66.1796875" bestFit="1" customWidth="1"/>
    <col min="6" max="6" width="17.453125" bestFit="1" customWidth="1"/>
  </cols>
  <sheetData>
    <row r="10" spans="2:6" x14ac:dyDescent="0.35">
      <c r="B10" s="14" t="s">
        <v>132</v>
      </c>
      <c r="C10" t="s">
        <v>145</v>
      </c>
      <c r="E10" s="14" t="s">
        <v>132</v>
      </c>
      <c r="F10" t="s">
        <v>143</v>
      </c>
    </row>
    <row r="11" spans="2:6" x14ac:dyDescent="0.35">
      <c r="B11" s="15" t="s">
        <v>21</v>
      </c>
      <c r="C11" s="16">
        <v>5</v>
      </c>
      <c r="D11" s="16"/>
      <c r="E11" s="15" t="s">
        <v>70</v>
      </c>
      <c r="F11" s="11">
        <v>0.5</v>
      </c>
    </row>
    <row r="12" spans="2:6" x14ac:dyDescent="0.35">
      <c r="B12" s="15" t="s">
        <v>83</v>
      </c>
      <c r="C12" s="16">
        <v>5</v>
      </c>
      <c r="D12" s="16"/>
      <c r="E12" s="15" t="s">
        <v>25</v>
      </c>
      <c r="F12" s="11">
        <v>0.53</v>
      </c>
    </row>
    <row r="13" spans="2:6" x14ac:dyDescent="0.35">
      <c r="B13" s="15" t="s">
        <v>41</v>
      </c>
      <c r="C13" s="16">
        <v>5</v>
      </c>
      <c r="D13" s="16"/>
      <c r="E13" s="15" t="s">
        <v>65</v>
      </c>
      <c r="F13" s="11">
        <v>0.55000000000000004</v>
      </c>
    </row>
    <row r="14" spans="2:6" x14ac:dyDescent="0.35">
      <c r="B14" s="15" t="s">
        <v>22</v>
      </c>
      <c r="C14" s="16">
        <v>5</v>
      </c>
      <c r="D14" s="16"/>
      <c r="E14" s="15" t="s">
        <v>20</v>
      </c>
      <c r="F14" s="11">
        <v>0.51</v>
      </c>
    </row>
    <row r="15" spans="2:6" x14ac:dyDescent="0.35">
      <c r="B15" s="15" t="s">
        <v>20</v>
      </c>
      <c r="C15" s="16">
        <v>5</v>
      </c>
      <c r="D15" s="16"/>
      <c r="E15" s="15" t="s">
        <v>41</v>
      </c>
      <c r="F15" s="11">
        <v>0.53</v>
      </c>
    </row>
    <row r="16" spans="2:6" x14ac:dyDescent="0.35">
      <c r="B16" s="15" t="s">
        <v>103</v>
      </c>
      <c r="C16" s="16">
        <v>5</v>
      </c>
      <c r="D16" s="16"/>
      <c r="E16" s="15" t="s">
        <v>35</v>
      </c>
      <c r="F16" s="11">
        <v>0.52</v>
      </c>
    </row>
    <row r="17" spans="2:6" x14ac:dyDescent="0.35">
      <c r="B17" s="15" t="s">
        <v>40</v>
      </c>
      <c r="C17" s="16">
        <v>5</v>
      </c>
      <c r="D17" s="16"/>
      <c r="E17" s="15" t="s">
        <v>67</v>
      </c>
      <c r="F17" s="11">
        <v>0.52</v>
      </c>
    </row>
    <row r="18" spans="2:6" x14ac:dyDescent="0.35">
      <c r="B18" s="15" t="s">
        <v>133</v>
      </c>
      <c r="C18" s="16">
        <v>78125</v>
      </c>
      <c r="D18" s="16"/>
      <c r="E18" s="15" t="s">
        <v>29</v>
      </c>
      <c r="F18" s="11">
        <v>0.54</v>
      </c>
    </row>
    <row r="19" spans="2:6" x14ac:dyDescent="0.35">
      <c r="E19" s="15" t="s">
        <v>13</v>
      </c>
      <c r="F19" s="11">
        <v>0.55000000000000004</v>
      </c>
    </row>
    <row r="20" spans="2:6" x14ac:dyDescent="0.35">
      <c r="B20" s="14" t="s">
        <v>132</v>
      </c>
      <c r="C20" t="s">
        <v>144</v>
      </c>
      <c r="E20" s="15" t="s">
        <v>64</v>
      </c>
      <c r="F20" s="11">
        <v>0.54</v>
      </c>
    </row>
    <row r="21" spans="2:6" x14ac:dyDescent="0.35">
      <c r="B21" s="15" t="s">
        <v>16</v>
      </c>
      <c r="C21" s="16">
        <v>39</v>
      </c>
      <c r="D21" s="16"/>
      <c r="E21" s="15" t="s">
        <v>112</v>
      </c>
      <c r="F21" s="11">
        <v>0.5</v>
      </c>
    </row>
    <row r="22" spans="2:6" x14ac:dyDescent="0.35">
      <c r="B22" s="15" t="s">
        <v>66</v>
      </c>
      <c r="C22" s="16">
        <v>69</v>
      </c>
      <c r="D22" s="16"/>
      <c r="E22" s="15" t="s">
        <v>133</v>
      </c>
      <c r="F22" s="11">
        <v>8.5424315965560056E-4</v>
      </c>
    </row>
    <row r="23" spans="2:6" x14ac:dyDescent="0.35">
      <c r="B23" s="15" t="s">
        <v>11</v>
      </c>
      <c r="C23" s="16">
        <v>55</v>
      </c>
      <c r="D23" s="16"/>
    </row>
    <row r="24" spans="2:6" x14ac:dyDescent="0.35">
      <c r="B24" s="15" t="s">
        <v>24</v>
      </c>
      <c r="C24" s="16">
        <v>44</v>
      </c>
      <c r="D24" s="16"/>
    </row>
    <row r="25" spans="2:6" x14ac:dyDescent="0.35">
      <c r="B25" s="15" t="s">
        <v>33</v>
      </c>
      <c r="C25" s="16">
        <v>20</v>
      </c>
      <c r="D25" s="16"/>
    </row>
    <row r="26" spans="2:6" x14ac:dyDescent="0.35">
      <c r="B26" s="15" t="s">
        <v>39</v>
      </c>
      <c r="C26" s="16">
        <v>32</v>
      </c>
      <c r="D26" s="16"/>
    </row>
    <row r="27" spans="2:6" x14ac:dyDescent="0.35">
      <c r="B27" s="15" t="s">
        <v>38</v>
      </c>
      <c r="C27" s="16">
        <v>20</v>
      </c>
      <c r="D27" s="16"/>
    </row>
    <row r="28" spans="2:6" x14ac:dyDescent="0.35">
      <c r="B28" s="15" t="s">
        <v>30</v>
      </c>
      <c r="C28" s="16">
        <v>49</v>
      </c>
      <c r="D28" s="16"/>
    </row>
    <row r="29" spans="2:6" x14ac:dyDescent="0.35">
      <c r="B29" s="15" t="s">
        <v>7</v>
      </c>
      <c r="C29" s="16">
        <v>24</v>
      </c>
      <c r="D29" s="16"/>
    </row>
    <row r="30" spans="2:6" x14ac:dyDescent="0.35">
      <c r="B30" s="15" t="s">
        <v>42</v>
      </c>
      <c r="C30" s="16">
        <v>36</v>
      </c>
      <c r="D30" s="16"/>
    </row>
    <row r="31" spans="2:6" x14ac:dyDescent="0.35">
      <c r="B31" s="15" t="s">
        <v>133</v>
      </c>
      <c r="C31" s="16">
        <v>3528977227776000</v>
      </c>
      <c r="D31" s="16"/>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Relation btwn Disc. &amp; reviews</vt:lpstr>
      <vt:lpstr>Rltion btwn rating &amp; review no.</vt:lpstr>
      <vt:lpstr>Rating with Review</vt:lpstr>
      <vt:lpstr>Top 10 Discounts</vt:lpstr>
      <vt:lpstr>Product ct Rating Category</vt:lpstr>
      <vt:lpstr>Top 10 most reviews</vt:lpstr>
      <vt:lpstr>Sheet7</vt:lpstr>
      <vt:lpstr>Sheet8</vt:lpstr>
      <vt:lpstr>Product ct, Dsct Category</vt:lpstr>
      <vt:lpstr>Excel_jumia</vt:lpstr>
      <vt:lpstr>Excel_jumia 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Elvis Kinyua</cp:lastModifiedBy>
  <dcterms:created xsi:type="dcterms:W3CDTF">2026-03-29T12:51:31Z</dcterms:created>
  <dcterms:modified xsi:type="dcterms:W3CDTF">2026-03-29T12:51:42Z</dcterms:modified>
</cp:coreProperties>
</file>